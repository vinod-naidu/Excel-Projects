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PROJECTS\"/>
    </mc:Choice>
  </mc:AlternateContent>
  <xr:revisionPtr revIDLastSave="0" documentId="13_ncr:1_{08545A7B-40B3-4A02-953C-741544BCA777}" xr6:coauthVersionLast="47" xr6:coauthVersionMax="47" xr10:uidLastSave="{00000000-0000-0000-0000-000000000000}"/>
  <bookViews>
    <workbookView xWindow="-120" yWindow="-120" windowWidth="20730" windowHeight="11040" activeTab="1" xr2:uid="{1E8EF599-F00B-4BE6-B548-A1B23827312F}"/>
  </bookViews>
  <sheets>
    <sheet name="SUMMARY" sheetId="1" r:id="rId1"/>
    <sheet name="JAN" sheetId="2" r:id="rId2"/>
    <sheet name="FEB" sheetId="4" r:id="rId3"/>
    <sheet name="MAR" sheetId="6" r:id="rId4"/>
    <sheet name="APR" sheetId="7" r:id="rId5"/>
    <sheet name="MAY" sheetId="8" r:id="rId6"/>
    <sheet name="JUN" sheetId="9" r:id="rId7"/>
    <sheet name="JUL" sheetId="10" r:id="rId8"/>
    <sheet name="AUG" sheetId="11" r:id="rId9"/>
    <sheet name="SPE" sheetId="12" r:id="rId10"/>
    <sheet name="OCT" sheetId="13" r:id="rId11"/>
    <sheet name="NOV" sheetId="14" r:id="rId12"/>
    <sheet name="DEC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" i="1" l="1"/>
  <c r="AL12" i="15"/>
  <c r="AM8" i="13"/>
  <c r="D8" i="13" s="1"/>
  <c r="C8" i="13" s="1"/>
  <c r="AL11" i="13"/>
  <c r="AL6" i="12"/>
  <c r="AN4" i="11"/>
  <c r="AN12" i="10"/>
  <c r="AL13" i="9"/>
  <c r="AM8" i="8"/>
  <c r="D8" i="8" s="1"/>
  <c r="C8" i="8" s="1"/>
  <c r="AN4" i="8"/>
  <c r="AL12" i="7"/>
  <c r="AN7" i="4"/>
  <c r="AM5" i="2"/>
  <c r="D5" i="2" s="1"/>
  <c r="C5" i="2" s="1"/>
  <c r="AN4" i="6"/>
  <c r="D11" i="2"/>
  <c r="C11" i="2" s="1"/>
  <c r="D12" i="2"/>
  <c r="C12" i="2" s="1"/>
  <c r="D13" i="2"/>
  <c r="C13" i="2" s="1"/>
  <c r="D11" i="9"/>
  <c r="C11" i="9" s="1"/>
  <c r="D12" i="9"/>
  <c r="C12" i="9" s="1"/>
  <c r="D13" i="9"/>
  <c r="C13" i="9" s="1"/>
  <c r="D11" i="15"/>
  <c r="C11" i="15" s="1"/>
  <c r="D12" i="15"/>
  <c r="C12" i="15" s="1"/>
  <c r="D13" i="15"/>
  <c r="C13" i="15" s="1"/>
  <c r="D11" i="14"/>
  <c r="C11" i="14" s="1"/>
  <c r="D12" i="14"/>
  <c r="C12" i="14" s="1"/>
  <c r="D13" i="14"/>
  <c r="C13" i="14" s="1"/>
  <c r="D11" i="13"/>
  <c r="C11" i="13" s="1"/>
  <c r="D12" i="13"/>
  <c r="C12" i="13" s="1"/>
  <c r="D13" i="13"/>
  <c r="C13" i="13" s="1"/>
  <c r="D11" i="12"/>
  <c r="C11" i="12" s="1"/>
  <c r="D12" i="12"/>
  <c r="C12" i="12" s="1"/>
  <c r="D13" i="12"/>
  <c r="C13" i="12" s="1"/>
  <c r="D11" i="11"/>
  <c r="C11" i="11" s="1"/>
  <c r="D12" i="11"/>
  <c r="C12" i="11" s="1"/>
  <c r="D13" i="11"/>
  <c r="C13" i="11" s="1"/>
  <c r="C12" i="10"/>
  <c r="D11" i="10"/>
  <c r="C11" i="10" s="1"/>
  <c r="D12" i="10"/>
  <c r="D13" i="10"/>
  <c r="C13" i="10" s="1"/>
  <c r="D11" i="8"/>
  <c r="C11" i="8" s="1"/>
  <c r="D12" i="8"/>
  <c r="C12" i="8" s="1"/>
  <c r="D13" i="8"/>
  <c r="C13" i="8" s="1"/>
  <c r="D11" i="7"/>
  <c r="C11" i="7" s="1"/>
  <c r="D12" i="7"/>
  <c r="C12" i="7" s="1"/>
  <c r="D13" i="7"/>
  <c r="C13" i="7" s="1"/>
  <c r="D11" i="6"/>
  <c r="C11" i="6" s="1"/>
  <c r="D12" i="6"/>
  <c r="C12" i="6" s="1"/>
  <c r="D13" i="6"/>
  <c r="C13" i="6" s="1"/>
  <c r="D11" i="4"/>
  <c r="C11" i="4" s="1"/>
  <c r="D12" i="4"/>
  <c r="C12" i="4" s="1"/>
  <c r="D13" i="4"/>
  <c r="C13" i="4" s="1"/>
  <c r="B13" i="15"/>
  <c r="B12" i="15"/>
  <c r="B11" i="15"/>
  <c r="B10" i="15"/>
  <c r="B9" i="15"/>
  <c r="B8" i="15"/>
  <c r="B7" i="15"/>
  <c r="B6" i="15"/>
  <c r="B5" i="15"/>
  <c r="B4" i="15"/>
  <c r="AN3" i="15"/>
  <c r="AN12" i="15" s="1"/>
  <c r="AM3" i="15"/>
  <c r="AM7" i="15" s="1"/>
  <c r="D7" i="15" s="1"/>
  <c r="C7" i="15" s="1"/>
  <c r="AL3" i="15"/>
  <c r="B13" i="14"/>
  <c r="B12" i="14"/>
  <c r="B11" i="14"/>
  <c r="B10" i="14"/>
  <c r="B9" i="14"/>
  <c r="B8" i="14"/>
  <c r="B7" i="14"/>
  <c r="B6" i="14"/>
  <c r="B5" i="14"/>
  <c r="B4" i="14"/>
  <c r="AN3" i="14"/>
  <c r="AN10" i="14" s="1"/>
  <c r="AM3" i="14"/>
  <c r="AM7" i="14" s="1"/>
  <c r="D7" i="14" s="1"/>
  <c r="C7" i="14" s="1"/>
  <c r="AL3" i="14"/>
  <c r="AL10" i="14" s="1"/>
  <c r="B13" i="13"/>
  <c r="B12" i="13"/>
  <c r="B11" i="13"/>
  <c r="B10" i="13"/>
  <c r="B9" i="13"/>
  <c r="B8" i="13"/>
  <c r="B7" i="13"/>
  <c r="B6" i="13"/>
  <c r="B5" i="13"/>
  <c r="B4" i="13"/>
  <c r="AN3" i="13"/>
  <c r="AN10" i="13" s="1"/>
  <c r="AM3" i="13"/>
  <c r="AM11" i="13" s="1"/>
  <c r="AL3" i="13"/>
  <c r="AL6" i="13" s="1"/>
  <c r="B13" i="12"/>
  <c r="B12" i="12"/>
  <c r="B11" i="12"/>
  <c r="B10" i="12"/>
  <c r="B9" i="12"/>
  <c r="B8" i="12"/>
  <c r="B7" i="12"/>
  <c r="B6" i="12"/>
  <c r="B5" i="12"/>
  <c r="B4" i="12"/>
  <c r="AN3" i="12"/>
  <c r="AN11" i="12" s="1"/>
  <c r="AM3" i="12"/>
  <c r="AM9" i="12" s="1"/>
  <c r="D9" i="12" s="1"/>
  <c r="C9" i="12" s="1"/>
  <c r="AL3" i="12"/>
  <c r="AL12" i="12" s="1"/>
  <c r="B13" i="11"/>
  <c r="B12" i="11"/>
  <c r="B11" i="11"/>
  <c r="B10" i="11"/>
  <c r="B9" i="11"/>
  <c r="B8" i="11"/>
  <c r="B7" i="11"/>
  <c r="B6" i="11"/>
  <c r="B5" i="11"/>
  <c r="B4" i="11"/>
  <c r="AN3" i="11"/>
  <c r="AN12" i="11" s="1"/>
  <c r="AM3" i="11"/>
  <c r="AM7" i="11" s="1"/>
  <c r="D7" i="11" s="1"/>
  <c r="C7" i="11" s="1"/>
  <c r="AL3" i="11"/>
  <c r="AL12" i="11" s="1"/>
  <c r="B13" i="10"/>
  <c r="B12" i="10"/>
  <c r="B11" i="10"/>
  <c r="B10" i="10"/>
  <c r="B9" i="10"/>
  <c r="B8" i="10"/>
  <c r="B7" i="10"/>
  <c r="B6" i="10"/>
  <c r="B5" i="10"/>
  <c r="B4" i="10"/>
  <c r="AN3" i="10"/>
  <c r="AN10" i="10" s="1"/>
  <c r="AM3" i="10"/>
  <c r="AL3" i="10"/>
  <c r="AL8" i="10" s="1"/>
  <c r="B13" i="9"/>
  <c r="B12" i="9"/>
  <c r="B11" i="9"/>
  <c r="B10" i="9"/>
  <c r="B9" i="9"/>
  <c r="B8" i="9"/>
  <c r="B7" i="9"/>
  <c r="B6" i="9"/>
  <c r="B5" i="9"/>
  <c r="B4" i="9"/>
  <c r="AN3" i="9"/>
  <c r="AN10" i="9" s="1"/>
  <c r="AM3" i="9"/>
  <c r="AM13" i="9" s="1"/>
  <c r="AL3" i="9"/>
  <c r="AL6" i="9" s="1"/>
  <c r="B13" i="8"/>
  <c r="B12" i="8"/>
  <c r="B11" i="8"/>
  <c r="B10" i="8"/>
  <c r="B9" i="8"/>
  <c r="B8" i="8"/>
  <c r="B7" i="8"/>
  <c r="B6" i="8"/>
  <c r="B5" i="8"/>
  <c r="B4" i="8"/>
  <c r="AN3" i="8"/>
  <c r="AN6" i="8" s="1"/>
  <c r="AM3" i="8"/>
  <c r="AM9" i="8" s="1"/>
  <c r="D9" i="8" s="1"/>
  <c r="C9" i="8" s="1"/>
  <c r="AL3" i="8"/>
  <c r="AL12" i="8" s="1"/>
  <c r="B13" i="7"/>
  <c r="B12" i="7"/>
  <c r="B11" i="7"/>
  <c r="B10" i="7"/>
  <c r="B9" i="7"/>
  <c r="B8" i="7"/>
  <c r="B7" i="7"/>
  <c r="B6" i="7"/>
  <c r="B5" i="7"/>
  <c r="B4" i="7"/>
  <c r="AN3" i="7"/>
  <c r="AN12" i="7" s="1"/>
  <c r="AM3" i="7"/>
  <c r="AM7" i="7" s="1"/>
  <c r="D7" i="7" s="1"/>
  <c r="C7" i="7" s="1"/>
  <c r="AL3" i="7"/>
  <c r="B13" i="6"/>
  <c r="B12" i="6"/>
  <c r="B11" i="6"/>
  <c r="B10" i="6"/>
  <c r="B9" i="6"/>
  <c r="B8" i="6"/>
  <c r="B7" i="6"/>
  <c r="B6" i="6"/>
  <c r="B5" i="6"/>
  <c r="B4" i="6"/>
  <c r="AN3" i="6"/>
  <c r="AN6" i="6" s="1"/>
  <c r="AM3" i="6"/>
  <c r="AM11" i="6" s="1"/>
  <c r="AL3" i="6"/>
  <c r="AL6" i="6" s="1"/>
  <c r="B13" i="4"/>
  <c r="B12" i="4"/>
  <c r="B11" i="4"/>
  <c r="B10" i="4"/>
  <c r="B9" i="4"/>
  <c r="B8" i="4"/>
  <c r="B7" i="4"/>
  <c r="B6" i="4"/>
  <c r="B5" i="4"/>
  <c r="B4" i="4"/>
  <c r="AN3" i="4"/>
  <c r="AN12" i="4" s="1"/>
  <c r="AM3" i="4"/>
  <c r="AM5" i="4" s="1"/>
  <c r="D5" i="4" s="1"/>
  <c r="C5" i="4" s="1"/>
  <c r="AL3" i="4"/>
  <c r="AL8" i="4" s="1"/>
  <c r="AN3" i="2"/>
  <c r="AN8" i="2" s="1"/>
  <c r="AM3" i="2"/>
  <c r="AM8" i="2" s="1"/>
  <c r="D8" i="2" s="1"/>
  <c r="C8" i="2" s="1"/>
  <c r="AL3" i="2"/>
  <c r="AL11" i="2" s="1"/>
  <c r="B5" i="2"/>
  <c r="B6" i="2"/>
  <c r="B7" i="2"/>
  <c r="B8" i="2"/>
  <c r="B9" i="2"/>
  <c r="B10" i="2"/>
  <c r="B11" i="2"/>
  <c r="B12" i="2"/>
  <c r="B13" i="2"/>
  <c r="B4" i="2"/>
  <c r="AN4" i="12" l="1"/>
  <c r="AN11" i="6"/>
  <c r="AM4" i="4"/>
  <c r="D4" i="4" s="1"/>
  <c r="C4" i="4" s="1"/>
  <c r="AM7" i="4"/>
  <c r="D7" i="4" s="1"/>
  <c r="C7" i="4" s="1"/>
  <c r="AN11" i="7"/>
  <c r="AM4" i="8"/>
  <c r="D4" i="8" s="1"/>
  <c r="C4" i="8" s="1"/>
  <c r="AM7" i="8"/>
  <c r="D7" i="8" s="1"/>
  <c r="C7" i="8" s="1"/>
  <c r="AL12" i="9"/>
  <c r="AL10" i="10"/>
  <c r="AM12" i="11"/>
  <c r="AM4" i="12"/>
  <c r="D4" i="12" s="1"/>
  <c r="C4" i="12" s="1"/>
  <c r="AL4" i="13"/>
  <c r="AL8" i="13"/>
  <c r="AN9" i="15"/>
  <c r="AN8" i="6"/>
  <c r="AL13" i="4"/>
  <c r="AL7" i="4"/>
  <c r="AN10" i="7"/>
  <c r="AN13" i="8"/>
  <c r="AM6" i="8"/>
  <c r="D6" i="8" s="1"/>
  <c r="C6" i="8" s="1"/>
  <c r="AL11" i="9"/>
  <c r="AN9" i="10"/>
  <c r="AM11" i="12"/>
  <c r="AM13" i="13"/>
  <c r="AM5" i="13"/>
  <c r="D5" i="13" s="1"/>
  <c r="C5" i="13" s="1"/>
  <c r="AM9" i="15"/>
  <c r="D9" i="15" s="1"/>
  <c r="C9" i="15" s="1"/>
  <c r="AM6" i="6"/>
  <c r="D6" i="6" s="1"/>
  <c r="C6" i="6" s="1"/>
  <c r="AL6" i="4"/>
  <c r="AN9" i="7"/>
  <c r="AN12" i="8"/>
  <c r="AL6" i="8"/>
  <c r="AL8" i="9"/>
  <c r="AN8" i="10"/>
  <c r="AN11" i="11"/>
  <c r="AL11" i="12"/>
  <c r="AL13" i="13"/>
  <c r="AL5" i="13"/>
  <c r="AN6" i="15"/>
  <c r="AM12" i="4"/>
  <c r="AL5" i="4"/>
  <c r="AM9" i="7"/>
  <c r="D9" i="7" s="1"/>
  <c r="C9" i="7" s="1"/>
  <c r="AN11" i="8"/>
  <c r="AN5" i="8"/>
  <c r="AN5" i="9"/>
  <c r="AN7" i="10"/>
  <c r="AN10" i="11"/>
  <c r="AL10" i="12"/>
  <c r="AL12" i="13"/>
  <c r="AL13" i="14"/>
  <c r="AM6" i="15"/>
  <c r="D6" i="15" s="1"/>
  <c r="C6" i="15" s="1"/>
  <c r="AN13" i="2"/>
  <c r="AM11" i="4"/>
  <c r="AN4" i="7"/>
  <c r="AN6" i="7"/>
  <c r="AM11" i="8"/>
  <c r="AL4" i="9"/>
  <c r="AM5" i="9"/>
  <c r="D5" i="9" s="1"/>
  <c r="C5" i="9" s="1"/>
  <c r="AL7" i="10"/>
  <c r="AN9" i="11"/>
  <c r="AL9" i="12"/>
  <c r="AN12" i="14"/>
  <c r="AN10" i="2"/>
  <c r="AM10" i="4"/>
  <c r="D10" i="4" s="1"/>
  <c r="C10" i="4" s="1"/>
  <c r="AM13" i="7"/>
  <c r="AM6" i="7"/>
  <c r="D6" i="7" s="1"/>
  <c r="C6" i="7" s="1"/>
  <c r="AL9" i="8"/>
  <c r="AN13" i="9"/>
  <c r="AL5" i="9"/>
  <c r="AL6" i="10"/>
  <c r="AM9" i="11"/>
  <c r="D9" i="11" s="1"/>
  <c r="C9" i="11" s="1"/>
  <c r="AM8" i="12"/>
  <c r="D8" i="12" s="1"/>
  <c r="C8" i="12" s="1"/>
  <c r="AN7" i="14"/>
  <c r="AN5" i="2"/>
  <c r="AL10" i="4"/>
  <c r="AM12" i="7"/>
  <c r="AM5" i="7"/>
  <c r="D5" i="7" s="1"/>
  <c r="C5" i="7" s="1"/>
  <c r="AN8" i="8"/>
  <c r="AL13" i="10"/>
  <c r="AL5" i="10"/>
  <c r="AN6" i="11"/>
  <c r="AM6" i="12"/>
  <c r="D6" i="12" s="1"/>
  <c r="C6" i="12" s="1"/>
  <c r="AM10" i="13"/>
  <c r="D10" i="13" s="1"/>
  <c r="C10" i="13" s="1"/>
  <c r="AM12" i="15"/>
  <c r="AN10" i="4"/>
  <c r="AN5" i="4"/>
  <c r="AN13" i="4"/>
  <c r="AN8" i="4"/>
  <c r="AN11" i="4"/>
  <c r="AN4" i="4"/>
  <c r="AN6" i="4"/>
  <c r="AN9" i="4"/>
  <c r="AL10" i="7"/>
  <c r="AL5" i="7"/>
  <c r="AL13" i="7"/>
  <c r="AL8" i="7"/>
  <c r="AL11" i="7"/>
  <c r="AL9" i="7"/>
  <c r="AL6" i="7"/>
  <c r="AM5" i="10"/>
  <c r="D5" i="10" s="1"/>
  <c r="C5" i="10" s="1"/>
  <c r="AM13" i="10"/>
  <c r="AM8" i="10"/>
  <c r="D8" i="10" s="1"/>
  <c r="C8" i="10" s="1"/>
  <c r="AM11" i="10"/>
  <c r="AM4" i="10"/>
  <c r="D4" i="10" s="1"/>
  <c r="C4" i="10" s="1"/>
  <c r="AM6" i="10"/>
  <c r="D6" i="10" s="1"/>
  <c r="C6" i="10" s="1"/>
  <c r="AM9" i="10"/>
  <c r="D9" i="10" s="1"/>
  <c r="C9" i="10" s="1"/>
  <c r="AM12" i="10"/>
  <c r="AN8" i="13"/>
  <c r="AN11" i="13"/>
  <c r="AN4" i="13"/>
  <c r="AN6" i="13"/>
  <c r="AN9" i="13"/>
  <c r="AN12" i="13"/>
  <c r="AN7" i="13"/>
  <c r="AL10" i="15"/>
  <c r="AL5" i="15"/>
  <c r="AL13" i="15"/>
  <c r="AL8" i="15"/>
  <c r="AL11" i="15"/>
  <c r="AL9" i="15"/>
  <c r="AL6" i="15"/>
  <c r="AM4" i="6"/>
  <c r="D4" i="6" s="1"/>
  <c r="C4" i="6" s="1"/>
  <c r="AM13" i="2"/>
  <c r="AM7" i="10"/>
  <c r="D7" i="10" s="1"/>
  <c r="C7" i="10" s="1"/>
  <c r="AM10" i="14"/>
  <c r="D10" i="14" s="1"/>
  <c r="C10" i="14" s="1"/>
  <c r="AN13" i="13"/>
  <c r="AL7" i="15"/>
  <c r="AL12" i="6"/>
  <c r="AL4" i="6"/>
  <c r="AL7" i="6"/>
  <c r="AL10" i="6"/>
  <c r="AL5" i="6"/>
  <c r="AL13" i="6"/>
  <c r="AL11" i="6"/>
  <c r="AL8" i="6"/>
  <c r="AM11" i="9"/>
  <c r="AM4" i="9"/>
  <c r="D4" i="9" s="1"/>
  <c r="C4" i="9" s="1"/>
  <c r="AM6" i="9"/>
  <c r="D6" i="9" s="1"/>
  <c r="C6" i="9" s="1"/>
  <c r="AM9" i="9"/>
  <c r="D9" i="9" s="1"/>
  <c r="C9" i="9" s="1"/>
  <c r="AM12" i="9"/>
  <c r="AM10" i="9"/>
  <c r="D10" i="9" s="1"/>
  <c r="C10" i="9" s="1"/>
  <c r="AM7" i="9"/>
  <c r="D7" i="9" s="1"/>
  <c r="C7" i="9" s="1"/>
  <c r="AL8" i="14"/>
  <c r="AL11" i="14"/>
  <c r="AL6" i="14"/>
  <c r="AL9" i="14"/>
  <c r="AL7" i="14"/>
  <c r="AL12" i="14"/>
  <c r="AL4" i="14"/>
  <c r="AL9" i="6"/>
  <c r="AL4" i="7"/>
  <c r="AM10" i="10"/>
  <c r="D10" i="10" s="1"/>
  <c r="C10" i="10" s="1"/>
  <c r="AN5" i="13"/>
  <c r="AL6" i="2"/>
  <c r="AL9" i="2"/>
  <c r="AL12" i="2"/>
  <c r="AL4" i="2"/>
  <c r="AL7" i="2"/>
  <c r="AL10" i="2"/>
  <c r="AL13" i="2"/>
  <c r="AL5" i="2"/>
  <c r="AN6" i="12"/>
  <c r="AN9" i="12"/>
  <c r="AN12" i="12"/>
  <c r="AN7" i="12"/>
  <c r="AN5" i="12"/>
  <c r="AN10" i="12"/>
  <c r="AN13" i="12"/>
  <c r="AM11" i="2"/>
  <c r="AM4" i="2"/>
  <c r="D4" i="2" s="1"/>
  <c r="C4" i="2" s="1"/>
  <c r="AM9" i="2"/>
  <c r="D9" i="2" s="1"/>
  <c r="C9" i="2" s="1"/>
  <c r="AM6" i="2"/>
  <c r="D6" i="2" s="1"/>
  <c r="C6" i="2" s="1"/>
  <c r="AM12" i="2"/>
  <c r="AM10" i="2"/>
  <c r="D10" i="2" s="1"/>
  <c r="C10" i="2" s="1"/>
  <c r="AM7" i="2"/>
  <c r="D7" i="2" s="1"/>
  <c r="C7" i="2" s="1"/>
  <c r="AM9" i="6"/>
  <c r="AM7" i="6"/>
  <c r="D7" i="6" s="1"/>
  <c r="C7" i="6" s="1"/>
  <c r="AM12" i="6"/>
  <c r="AM10" i="6"/>
  <c r="D10" i="6" s="1"/>
  <c r="C10" i="6" s="1"/>
  <c r="AM5" i="6"/>
  <c r="D5" i="6" s="1"/>
  <c r="C5" i="6" s="1"/>
  <c r="AM13" i="6"/>
  <c r="AM8" i="6"/>
  <c r="D8" i="6" s="1"/>
  <c r="C8" i="6" s="1"/>
  <c r="AN8" i="9"/>
  <c r="AN11" i="9"/>
  <c r="AN4" i="9"/>
  <c r="AN6" i="9"/>
  <c r="AN9" i="9"/>
  <c r="AN7" i="9"/>
  <c r="AN12" i="9"/>
  <c r="AL10" i="11"/>
  <c r="AL5" i="11"/>
  <c r="AL13" i="11"/>
  <c r="AL8" i="11"/>
  <c r="AL11" i="11"/>
  <c r="AL6" i="11"/>
  <c r="AL9" i="11"/>
  <c r="AM5" i="14"/>
  <c r="D5" i="14" s="1"/>
  <c r="C5" i="14" s="1"/>
  <c r="AM13" i="14"/>
  <c r="AM8" i="14"/>
  <c r="D8" i="14" s="1"/>
  <c r="C8" i="14" s="1"/>
  <c r="AM11" i="14"/>
  <c r="AM4" i="14"/>
  <c r="D4" i="14" s="1"/>
  <c r="C4" i="14" s="1"/>
  <c r="AM6" i="14"/>
  <c r="D6" i="14" s="1"/>
  <c r="C6" i="14" s="1"/>
  <c r="AM12" i="14"/>
  <c r="AM9" i="14"/>
  <c r="D9" i="14" s="1"/>
  <c r="C9" i="14" s="1"/>
  <c r="AL8" i="2"/>
  <c r="AL7" i="7"/>
  <c r="AM8" i="9"/>
  <c r="AL4" i="11"/>
  <c r="AL7" i="11"/>
  <c r="AL5" i="14"/>
  <c r="AN8" i="12"/>
  <c r="AL4" i="15"/>
  <c r="AN13" i="6"/>
  <c r="AM6" i="11"/>
  <c r="D6" i="11" s="1"/>
  <c r="C6" i="11" s="1"/>
  <c r="AN10" i="6"/>
  <c r="AN12" i="2"/>
  <c r="AL4" i="4"/>
  <c r="AL12" i="4"/>
  <c r="AM9" i="4"/>
  <c r="D9" i="4" s="1"/>
  <c r="C9" i="4" s="1"/>
  <c r="AM4" i="7"/>
  <c r="D4" i="7" s="1"/>
  <c r="C4" i="7" s="1"/>
  <c r="AM11" i="7"/>
  <c r="AN8" i="7"/>
  <c r="AM13" i="8"/>
  <c r="AN10" i="8"/>
  <c r="AL8" i="8"/>
  <c r="AM5" i="8"/>
  <c r="D5" i="8" s="1"/>
  <c r="C5" i="8" s="1"/>
  <c r="AL10" i="9"/>
  <c r="AL4" i="10"/>
  <c r="AL12" i="10"/>
  <c r="AN6" i="10"/>
  <c r="AM4" i="11"/>
  <c r="D4" i="11" s="1"/>
  <c r="C4" i="11" s="1"/>
  <c r="AM11" i="11"/>
  <c r="AN8" i="11"/>
  <c r="AM13" i="12"/>
  <c r="AL8" i="12"/>
  <c r="AM5" i="12"/>
  <c r="D5" i="12" s="1"/>
  <c r="C5" i="12" s="1"/>
  <c r="AL10" i="13"/>
  <c r="AM7" i="13"/>
  <c r="D7" i="13" s="1"/>
  <c r="C7" i="13" s="1"/>
  <c r="AN6" i="14"/>
  <c r="AM4" i="15"/>
  <c r="D4" i="15" s="1"/>
  <c r="C4" i="15" s="1"/>
  <c r="AM11" i="15"/>
  <c r="AN8" i="15"/>
  <c r="AN5" i="6"/>
  <c r="AN7" i="2"/>
  <c r="H9" i="1" s="1"/>
  <c r="O3" i="1" s="1"/>
  <c r="AL11" i="8"/>
  <c r="AN9" i="14"/>
  <c r="AN4" i="15"/>
  <c r="AN11" i="15"/>
  <c r="AN7" i="6"/>
  <c r="AN9" i="2"/>
  <c r="AL9" i="4"/>
  <c r="AM6" i="4"/>
  <c r="D6" i="4" s="1"/>
  <c r="C6" i="4" s="1"/>
  <c r="AN13" i="7"/>
  <c r="AM8" i="7"/>
  <c r="D8" i="7" s="1"/>
  <c r="C8" i="7" s="1"/>
  <c r="AN5" i="7"/>
  <c r="AL13" i="8"/>
  <c r="AM10" i="8"/>
  <c r="D10" i="8" s="1"/>
  <c r="C10" i="8" s="1"/>
  <c r="AN7" i="8"/>
  <c r="AL5" i="8"/>
  <c r="AL7" i="9"/>
  <c r="AN4" i="10"/>
  <c r="AN11" i="10"/>
  <c r="AL9" i="10"/>
  <c r="AN13" i="11"/>
  <c r="AM8" i="11"/>
  <c r="D8" i="11" s="1"/>
  <c r="C8" i="11" s="1"/>
  <c r="AN5" i="11"/>
  <c r="AL13" i="12"/>
  <c r="AM10" i="12"/>
  <c r="D10" i="12" s="1"/>
  <c r="C10" i="12" s="1"/>
  <c r="AL5" i="12"/>
  <c r="AM12" i="13"/>
  <c r="AL7" i="13"/>
  <c r="AN4" i="14"/>
  <c r="AN11" i="14"/>
  <c r="AN13" i="15"/>
  <c r="AM8" i="15"/>
  <c r="D8" i="15" s="1"/>
  <c r="C8" i="15" s="1"/>
  <c r="AN5" i="15"/>
  <c r="AM9" i="13"/>
  <c r="D9" i="13" s="1"/>
  <c r="C9" i="13" s="1"/>
  <c r="AN8" i="14"/>
  <c r="AM13" i="15"/>
  <c r="AN10" i="15"/>
  <c r="AM5" i="15"/>
  <c r="D5" i="15" s="1"/>
  <c r="C5" i="15" s="1"/>
  <c r="AN12" i="6"/>
  <c r="H14" i="1" s="1"/>
  <c r="AN6" i="2"/>
  <c r="AL10" i="8"/>
  <c r="F12" i="1" s="1"/>
  <c r="AM13" i="11"/>
  <c r="AM5" i="11"/>
  <c r="D5" i="11" s="1"/>
  <c r="C5" i="11" s="1"/>
  <c r="AM7" i="12"/>
  <c r="D7" i="12" s="1"/>
  <c r="C7" i="12" s="1"/>
  <c r="AN9" i="6"/>
  <c r="AN4" i="2"/>
  <c r="AN11" i="2"/>
  <c r="AL11" i="4"/>
  <c r="AM8" i="4"/>
  <c r="D8" i="4" s="1"/>
  <c r="C8" i="4" s="1"/>
  <c r="AM10" i="7"/>
  <c r="D10" i="7" s="1"/>
  <c r="C10" i="7" s="1"/>
  <c r="AN7" i="7"/>
  <c r="AM12" i="8"/>
  <c r="AN9" i="8"/>
  <c r="AL7" i="8"/>
  <c r="AL9" i="9"/>
  <c r="AN13" i="10"/>
  <c r="AL11" i="10"/>
  <c r="AN5" i="10"/>
  <c r="H7" i="1" s="1"/>
  <c r="AM10" i="11"/>
  <c r="D10" i="11" s="1"/>
  <c r="C10" i="11" s="1"/>
  <c r="AN7" i="11"/>
  <c r="AM12" i="12"/>
  <c r="AL7" i="12"/>
  <c r="AL9" i="13"/>
  <c r="AM6" i="13"/>
  <c r="D6" i="13" s="1"/>
  <c r="C6" i="13" s="1"/>
  <c r="AN13" i="14"/>
  <c r="AN5" i="14"/>
  <c r="AM10" i="15"/>
  <c r="D10" i="15" s="1"/>
  <c r="C10" i="15" s="1"/>
  <c r="AN7" i="15"/>
  <c r="AM13" i="4"/>
  <c r="G15" i="1" s="1"/>
  <c r="AL4" i="8"/>
  <c r="AL4" i="12"/>
  <c r="AM4" i="13"/>
  <c r="D4" i="13" s="1"/>
  <c r="C4" i="13" s="1"/>
  <c r="F10" i="1"/>
  <c r="H13" i="1"/>
  <c r="F8" i="1"/>
  <c r="H12" i="1"/>
  <c r="F15" i="1"/>
  <c r="D8" i="9"/>
  <c r="C8" i="9" s="1"/>
  <c r="H8" i="1"/>
  <c r="D9" i="6"/>
  <c r="C9" i="6" s="1"/>
  <c r="H10" i="1" l="1"/>
  <c r="F6" i="1"/>
  <c r="F13" i="1"/>
  <c r="D13" i="1" s="1"/>
  <c r="C13" i="1" s="1"/>
  <c r="G6" i="1"/>
  <c r="H15" i="1"/>
  <c r="F14" i="1"/>
  <c r="F7" i="1"/>
  <c r="H11" i="1"/>
  <c r="H6" i="1"/>
  <c r="D6" i="1"/>
  <c r="C6" i="1" s="1"/>
  <c r="D7" i="1"/>
  <c r="C7" i="1" s="1"/>
  <c r="D15" i="1"/>
  <c r="C15" i="1" s="1"/>
  <c r="G10" i="1"/>
  <c r="G9" i="1"/>
  <c r="N3" i="1" s="1"/>
  <c r="G7" i="1"/>
  <c r="G13" i="1"/>
  <c r="F11" i="1"/>
  <c r="G12" i="1"/>
  <c r="D12" i="1" s="1"/>
  <c r="C12" i="1" s="1"/>
  <c r="G11" i="1"/>
  <c r="F9" i="1"/>
  <c r="M3" i="1" s="1"/>
  <c r="G8" i="1"/>
  <c r="D8" i="1" s="1"/>
  <c r="C8" i="1" s="1"/>
  <c r="G14" i="1"/>
  <c r="D14" i="1" s="1"/>
  <c r="C14" i="1" s="1"/>
  <c r="H3" i="1" l="1"/>
  <c r="G3" i="1"/>
  <c r="D9" i="1"/>
  <c r="C9" i="1" s="1"/>
  <c r="D10" i="1"/>
  <c r="C10" i="1" s="1"/>
  <c r="D11" i="1"/>
  <c r="C11" i="1" s="1"/>
  <c r="F3" i="1"/>
  <c r="D3" i="1" l="1"/>
  <c r="C3" i="1" s="1"/>
</calcChain>
</file>

<file path=xl/sharedStrings.xml><?xml version="1.0" encoding="utf-8"?>
<sst xmlns="http://schemas.openxmlformats.org/spreadsheetml/2006/main" count="168" uniqueCount="29">
  <si>
    <t>SUMMARY</t>
  </si>
  <si>
    <t>TOTAL</t>
  </si>
  <si>
    <t>NAME</t>
  </si>
  <si>
    <t>PERCENTAGE</t>
  </si>
  <si>
    <t>Y</t>
  </si>
  <si>
    <t>N</t>
  </si>
  <si>
    <t>E</t>
  </si>
  <si>
    <t>Vinod</t>
  </si>
  <si>
    <t>Rakesh</t>
  </si>
  <si>
    <t>charan</t>
  </si>
  <si>
    <t>ranganna</t>
  </si>
  <si>
    <t>vinod kumar</t>
  </si>
  <si>
    <t>saifuddin</t>
  </si>
  <si>
    <t>pawan kumar</t>
  </si>
  <si>
    <t>gouthm</t>
  </si>
  <si>
    <t>moksha</t>
  </si>
  <si>
    <t>chandan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</si>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</sst>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D8F3EB"/>
      <name val="Calibri"/>
      <family val="2"/>
      <scheme val="minor"/>
    </font>
    <font>
      <sz val="11"/>
      <color rgb="FFFFCCDC"/>
      <name val="Calibri"/>
      <family val="2"/>
      <scheme val="minor"/>
    </font>
    <font>
      <sz val="11"/>
      <color rgb="FFDDD4F7"/>
      <name val="Calibri"/>
      <family val="2"/>
      <scheme val="minor"/>
    </font>
    <font>
      <b/>
      <sz val="11"/>
      <color rgb="FFFFCCDC"/>
      <name val="Calibri"/>
      <family val="2"/>
      <scheme val="minor"/>
    </font>
    <font>
      <b/>
      <sz val="11"/>
      <color rgb="FFDDD4F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1F3F4"/>
        <bgColor indexed="64"/>
      </patternFill>
    </fill>
    <fill>
      <patternFill patternType="solid">
        <fgColor rgb="FF14203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8F3EB"/>
        <bgColor indexed="64"/>
      </patternFill>
    </fill>
    <fill>
      <patternFill patternType="solid">
        <fgColor rgb="FFFFCCDC"/>
        <bgColor indexed="64"/>
      </patternFill>
    </fill>
    <fill>
      <patternFill patternType="solid">
        <fgColor rgb="FFDDD4F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42038"/>
      </left>
      <right style="thin">
        <color rgb="FF142038"/>
      </right>
      <top style="thin">
        <color rgb="FF142038"/>
      </top>
      <bottom style="thin">
        <color rgb="FF14203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2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4" fillId="3" borderId="0" xfId="0" applyFont="1" applyFill="1" applyAlignment="1">
      <alignment horizontal="left"/>
    </xf>
    <xf numFmtId="0" fontId="0" fillId="0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3" xfId="0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9" fontId="0" fillId="0" borderId="3" xfId="1" applyFont="1" applyFill="1" applyBorder="1" applyAlignment="1">
      <alignment horizontal="left"/>
    </xf>
    <xf numFmtId="9" fontId="0" fillId="0" borderId="3" xfId="0" applyNumberFormat="1" applyFill="1" applyBorder="1" applyAlignment="1">
      <alignment horizontal="left"/>
    </xf>
    <xf numFmtId="9" fontId="0" fillId="0" borderId="1" xfId="1" applyFont="1" applyFill="1" applyBorder="1" applyAlignment="1">
      <alignment horizontal="left"/>
    </xf>
    <xf numFmtId="9" fontId="0" fillId="0" borderId="1" xfId="0" applyNumberFormat="1" applyFill="1" applyBorder="1" applyAlignment="1">
      <alignment horizontal="left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36">
    <dxf>
      <fill>
        <patternFill>
          <bgColor rgb="FFD8F3EB"/>
        </patternFill>
      </fill>
    </dxf>
    <dxf>
      <fill>
        <patternFill>
          <bgColor rgb="FFFFCCDC"/>
        </patternFill>
      </fill>
    </dxf>
    <dxf>
      <fill>
        <patternFill>
          <bgColor rgb="FFDDD4F7"/>
        </patternFill>
      </fill>
    </dxf>
    <dxf>
      <fill>
        <patternFill>
          <bgColor rgb="FFD8F3EB"/>
        </patternFill>
      </fill>
    </dxf>
    <dxf>
      <fill>
        <patternFill>
          <bgColor rgb="FFFFCCDC"/>
        </patternFill>
      </fill>
    </dxf>
    <dxf>
      <fill>
        <patternFill>
          <bgColor rgb="FFDDD4F7"/>
        </patternFill>
      </fill>
    </dxf>
    <dxf>
      <fill>
        <patternFill>
          <bgColor rgb="FFD8F3EB"/>
        </patternFill>
      </fill>
    </dxf>
    <dxf>
      <fill>
        <patternFill>
          <bgColor rgb="FFFFCCDC"/>
        </patternFill>
      </fill>
    </dxf>
    <dxf>
      <fill>
        <patternFill>
          <bgColor rgb="FFDDD4F7"/>
        </patternFill>
      </fill>
    </dxf>
    <dxf>
      <fill>
        <patternFill>
          <bgColor rgb="FFD8F3EB"/>
        </patternFill>
      </fill>
    </dxf>
    <dxf>
      <fill>
        <patternFill>
          <bgColor rgb="FFFFCCDC"/>
        </patternFill>
      </fill>
    </dxf>
    <dxf>
      <fill>
        <patternFill>
          <bgColor rgb="FFDDD4F7"/>
        </patternFill>
      </fill>
    </dxf>
    <dxf>
      <fill>
        <patternFill>
          <bgColor rgb="FFD8F3EB"/>
        </patternFill>
      </fill>
    </dxf>
    <dxf>
      <fill>
        <patternFill>
          <bgColor rgb="FFFFCCDC"/>
        </patternFill>
      </fill>
    </dxf>
    <dxf>
      <fill>
        <patternFill>
          <bgColor rgb="FFDDD4F7"/>
        </patternFill>
      </fill>
    </dxf>
    <dxf>
      <fill>
        <patternFill>
          <bgColor rgb="FFD8F3EB"/>
        </patternFill>
      </fill>
    </dxf>
    <dxf>
      <fill>
        <patternFill>
          <bgColor rgb="FFFFCCDC"/>
        </patternFill>
      </fill>
    </dxf>
    <dxf>
      <fill>
        <patternFill>
          <bgColor rgb="FFDDD4F7"/>
        </patternFill>
      </fill>
    </dxf>
    <dxf>
      <fill>
        <patternFill>
          <bgColor rgb="FFD8F3EB"/>
        </patternFill>
      </fill>
    </dxf>
    <dxf>
      <fill>
        <patternFill>
          <bgColor rgb="FFFFCCDC"/>
        </patternFill>
      </fill>
    </dxf>
    <dxf>
      <fill>
        <patternFill>
          <bgColor rgb="FFDDD4F7"/>
        </patternFill>
      </fill>
    </dxf>
    <dxf>
      <fill>
        <patternFill>
          <bgColor rgb="FFD8F3EB"/>
        </patternFill>
      </fill>
    </dxf>
    <dxf>
      <fill>
        <patternFill>
          <bgColor rgb="FFFFCCDC"/>
        </patternFill>
      </fill>
    </dxf>
    <dxf>
      <fill>
        <patternFill>
          <bgColor rgb="FFDDD4F7"/>
        </patternFill>
      </fill>
    </dxf>
    <dxf>
      <fill>
        <patternFill>
          <bgColor rgb="FFD8F3EB"/>
        </patternFill>
      </fill>
    </dxf>
    <dxf>
      <fill>
        <patternFill>
          <bgColor rgb="FFFFCCDC"/>
        </patternFill>
      </fill>
    </dxf>
    <dxf>
      <fill>
        <patternFill>
          <bgColor rgb="FFDDD4F7"/>
        </patternFill>
      </fill>
    </dxf>
    <dxf>
      <fill>
        <patternFill>
          <bgColor rgb="FFD8F3EB"/>
        </patternFill>
      </fill>
    </dxf>
    <dxf>
      <fill>
        <patternFill>
          <bgColor rgb="FFFFCCDC"/>
        </patternFill>
      </fill>
    </dxf>
    <dxf>
      <fill>
        <patternFill>
          <bgColor rgb="FFDDD4F7"/>
        </patternFill>
      </fill>
    </dxf>
    <dxf>
      <fill>
        <patternFill>
          <bgColor rgb="FFD8F3EB"/>
        </patternFill>
      </fill>
    </dxf>
    <dxf>
      <fill>
        <patternFill>
          <bgColor rgb="FFFFCCDC"/>
        </patternFill>
      </fill>
    </dxf>
    <dxf>
      <fill>
        <patternFill>
          <bgColor rgb="FFDDD4F7"/>
        </patternFill>
      </fill>
    </dxf>
    <dxf>
      <fill>
        <patternFill>
          <bgColor rgb="FFD8F3EB"/>
        </patternFill>
      </fill>
    </dxf>
    <dxf>
      <fill>
        <patternFill>
          <bgColor rgb="FFFFCCDC"/>
        </patternFill>
      </fill>
    </dxf>
    <dxf>
      <fill>
        <patternFill>
          <bgColor rgb="FFDDD4F7"/>
        </patternFill>
      </fill>
    </dxf>
  </dxfs>
  <tableStyles count="0" defaultTableStyle="TableStyleMedium2" defaultPivotStyle="PivotStyleLight16"/>
  <colors>
    <mruColors>
      <color rgb="FFF1F3F4"/>
      <color rgb="FFAE98EC"/>
      <color rgb="FFDDD4F7"/>
      <color rgb="FFFFCCDC"/>
      <color rgb="FF4CC8A5"/>
      <color rgb="FFD8F3EB"/>
      <color rgb="FF1420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SUMMARY!$K$6</c:f>
          <c:strCache>
            <c:ptCount val="1"/>
            <c:pt idx="0">
              <c:v>Attendance Record-saifuddin</c:v>
            </c:pt>
          </c:strCache>
        </c:strRef>
      </c:tx>
      <c:overlay val="0"/>
      <c:spPr>
        <a:solidFill>
          <a:srgbClr val="AE98EC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1F3F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25462962962962965"/>
          <c:w val="0.90286351706036749"/>
          <c:h val="0.63797098279381748"/>
        </c:manualLayout>
      </c:layout>
      <c:barChart>
        <c:barDir val="col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solidFill>
                <a:srgbClr val="D8F3EB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CC8A5"/>
              </a:solidFill>
              <a:ln>
                <a:solidFill>
                  <a:srgbClr val="D8F3EB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3-A96B-4435-88B4-6255FC0F3142}"/>
              </c:ext>
            </c:extLst>
          </c:dPt>
          <c:dPt>
            <c:idx val="1"/>
            <c:invertIfNegative val="0"/>
            <c:bubble3D val="0"/>
            <c:spPr>
              <a:solidFill>
                <a:srgbClr val="FFCCDC"/>
              </a:solidFill>
              <a:ln>
                <a:solidFill>
                  <a:srgbClr val="D8F3EB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96B-4435-88B4-6255FC0F3142}"/>
              </c:ext>
            </c:extLst>
          </c:dPt>
          <c:dPt>
            <c:idx val="2"/>
            <c:invertIfNegative val="0"/>
            <c:bubble3D val="0"/>
            <c:spPr>
              <a:solidFill>
                <a:srgbClr val="AE98EC"/>
              </a:solidFill>
              <a:ln>
                <a:solidFill>
                  <a:srgbClr val="D8F3EB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6B-4435-88B4-6255FC0F3142}"/>
              </c:ext>
            </c:extLst>
          </c:dPt>
          <c:cat>
            <c:strRef>
              <c:f>SUMMARY!$F$5:$H$5</c:f>
              <c:strCache>
                <c:ptCount val="3"/>
                <c:pt idx="0">
                  <c:v>Y</c:v>
                </c:pt>
                <c:pt idx="1">
                  <c:v>N</c:v>
                </c:pt>
                <c:pt idx="2">
                  <c:v>E</c:v>
                </c:pt>
              </c:strCache>
            </c:strRef>
          </c:cat>
          <c:val>
            <c:numRef>
              <c:f>SUMMARY!$M$3:$O$3</c:f>
              <c:numCache>
                <c:formatCode>General</c:formatCode>
                <c:ptCount val="3"/>
                <c:pt idx="0">
                  <c:v>13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6B-4435-88B4-6255FC0F3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1"/>
        <c:overlap val="-27"/>
        <c:axId val="14622496"/>
        <c:axId val="14624160"/>
      </c:barChart>
      <c:catAx>
        <c:axId val="1462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4160"/>
        <c:crosses val="autoZero"/>
        <c:auto val="1"/>
        <c:lblAlgn val="ctr"/>
        <c:lblOffset val="100"/>
        <c:noMultiLvlLbl val="0"/>
      </c:catAx>
      <c:valAx>
        <c:axId val="146241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249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3000">
          <a:schemeClr val="accent1">
            <a:lumMod val="5000"/>
            <a:lumOff val="95000"/>
          </a:schemeClr>
        </a:gs>
        <a:gs pos="46000">
          <a:schemeClr val="accent1">
            <a:lumMod val="45000"/>
            <a:lumOff val="55000"/>
          </a:schemeClr>
        </a:gs>
        <a:gs pos="69000">
          <a:schemeClr val="accent1">
            <a:lumMod val="45000"/>
            <a:lumOff val="55000"/>
          </a:schemeClr>
        </a:gs>
        <a:gs pos="90000">
          <a:schemeClr val="bg1">
            <a:lumMod val="75000"/>
          </a:schemeClr>
        </a:gs>
      </a:gsLst>
      <a:path path="circle">
        <a:fillToRect l="100000" t="100000"/>
      </a:path>
      <a:tileRect r="-100000" b="-100000"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190499</xdr:colOff>
      <xdr:row>4</xdr:row>
      <xdr:rowOff>0</xdr:rowOff>
    </xdr:from>
    <xdr:to>
      <xdr:col>18</xdr:col>
      <xdr:colOff>161924</xdr:colOff>
      <xdr:row>15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9CD780-DDAF-4237-8458-51C6828C3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57F08-A266-42E5-A215-98297A3E3A12}">
  <dimension ref="B1:O15"/>
  <sheetViews>
    <sheetView showGridLines="0" workbookViewId="0">
      <selection activeCell="AA6" sqref="AA6"/>
    </sheetView>
  </sheetViews>
  <sheetFormatPr defaultColWidth="4.7109375" defaultRowHeight="15" x14ac:dyDescent="0.25"/>
  <cols>
    <col min="1" max="1" width="4.7109375" style="1"/>
    <col min="2" max="2" width="12.7109375" style="7" customWidth="1"/>
    <col min="3" max="3" width="6.7109375" style="7" customWidth="1"/>
    <col min="4" max="4" width="12.7109375" style="7" customWidth="1"/>
    <col min="5" max="5" width="4.7109375" style="1"/>
    <col min="6" max="8" width="6.7109375" style="1" customWidth="1"/>
    <col min="9" max="9" width="4.7109375" style="1"/>
    <col min="10" max="11" width="12.7109375" style="1" customWidth="1"/>
    <col min="12" max="12" width="4.7109375" style="1"/>
    <col min="13" max="15" width="6.7109375" style="1" customWidth="1"/>
    <col min="16" max="16384" width="4.7109375" style="1"/>
  </cols>
  <sheetData>
    <row r="1" spans="2:15" s="2" customFormat="1" ht="20.100000000000001" customHeight="1" x14ac:dyDescent="0.3">
      <c r="B1" s="5" t="s">
        <v>0</v>
      </c>
      <c r="C1" s="5"/>
      <c r="D1" s="5"/>
    </row>
    <row r="3" spans="2:15" x14ac:dyDescent="0.25">
      <c r="B3" s="10" t="s">
        <v>1</v>
      </c>
      <c r="C3" s="20">
        <f>D3</f>
        <v>0.51327433628318586</v>
      </c>
      <c r="D3" s="19">
        <f>IF(SUM(F3:H3)=0,0,1-G3/SUM(F3:H3))</f>
        <v>0.51327433628318586</v>
      </c>
      <c r="F3" s="21">
        <f>SUM(F6:F15)</f>
        <v>43</v>
      </c>
      <c r="G3" s="22">
        <f t="shared" ref="G3:H3" si="0">SUM(G6:G15)</f>
        <v>55</v>
      </c>
      <c r="H3" s="23">
        <f t="shared" si="0"/>
        <v>15</v>
      </c>
      <c r="J3" s="11" t="s">
        <v>2</v>
      </c>
      <c r="K3" s="3" t="s">
        <v>12</v>
      </c>
      <c r="M3" s="21">
        <f>IF(ISBLANK($K$3),F3,INDEX($F$6:$F$15,MATCH($K$3,$B$6:$B$15,0)))</f>
        <v>13</v>
      </c>
      <c r="N3" s="24">
        <f>IF(ISBLANK($K$3),G3,INDEX($G$6:$G$15,MATCH($K$3,$B$6:$B$15,0)))</f>
        <v>0</v>
      </c>
      <c r="O3" s="25">
        <f>IF(ISBLANK($K$3),H3,INDEX($H$6:$H$15,MATCH($K$3,$B$6:$B$15,0)))</f>
        <v>0</v>
      </c>
    </row>
    <row r="5" spans="2:15" x14ac:dyDescent="0.25">
      <c r="B5" s="9" t="s">
        <v>2</v>
      </c>
      <c r="C5" s="26" t="s">
        <v>3</v>
      </c>
      <c r="D5" s="26"/>
      <c r="F5" s="12" t="s">
        <v>4</v>
      </c>
      <c r="G5" s="13" t="s">
        <v>5</v>
      </c>
      <c r="H5" s="14" t="s">
        <v>6</v>
      </c>
    </row>
    <row r="6" spans="2:15" x14ac:dyDescent="0.25">
      <c r="B6" s="8" t="s">
        <v>7</v>
      </c>
      <c r="C6" s="18">
        <f>D6</f>
        <v>0.41666666666666663</v>
      </c>
      <c r="D6" s="17">
        <f>IF(SUM(F6:H6)=0,0,1-G6/SUM(F6:H6))</f>
        <v>0.41666666666666663</v>
      </c>
      <c r="F6" s="3">
        <f>SUM(JAN:DEC!AL4)</f>
        <v>9</v>
      </c>
      <c r="G6" s="3">
        <f>SUM(JAN:DEC!AM4)</f>
        <v>14</v>
      </c>
      <c r="H6" s="3">
        <f>SUM(JAN:DEC!AN4)</f>
        <v>1</v>
      </c>
      <c r="K6" s="1" t="str">
        <f>"Attendance Record-"&amp;IF(ISBLANK(K3),"All",K3)</f>
        <v>Attendance Record-saifuddin</v>
      </c>
    </row>
    <row r="7" spans="2:15" x14ac:dyDescent="0.25">
      <c r="B7" s="6" t="s">
        <v>8</v>
      </c>
      <c r="C7" s="18">
        <f t="shared" ref="C7:C15" si="1">D7</f>
        <v>0.93333333333333335</v>
      </c>
      <c r="D7" s="17">
        <f t="shared" ref="D7:D15" si="2">IF(SUM(F7:H7)=0,0,1-G7/SUM(F7:H7))</f>
        <v>0.93333333333333335</v>
      </c>
      <c r="F7" s="3">
        <f>SUM(JAN:DEC!AL5)</f>
        <v>2</v>
      </c>
      <c r="G7" s="3">
        <f>SUM(JAN:DEC!AM5)</f>
        <v>1</v>
      </c>
      <c r="H7" s="3">
        <f>SUM(JAN:DEC!AN5)</f>
        <v>12</v>
      </c>
    </row>
    <row r="8" spans="2:15" x14ac:dyDescent="0.25">
      <c r="B8" s="6" t="s">
        <v>9</v>
      </c>
      <c r="C8" s="18">
        <f t="shared" si="1"/>
        <v>0.1428571428571429</v>
      </c>
      <c r="D8" s="17">
        <f t="shared" si="2"/>
        <v>0.1428571428571429</v>
      </c>
      <c r="F8" s="3">
        <f>SUM(JAN:DEC!AL6)</f>
        <v>2</v>
      </c>
      <c r="G8" s="3">
        <f>SUM(JAN:DEC!AM6)</f>
        <v>12</v>
      </c>
      <c r="H8" s="3">
        <f>SUM(JAN:DEC!AN6)</f>
        <v>0</v>
      </c>
    </row>
    <row r="9" spans="2:15" x14ac:dyDescent="0.25">
      <c r="B9" s="6" t="s">
        <v>10</v>
      </c>
      <c r="C9" s="18">
        <f t="shared" si="1"/>
        <v>0.30000000000000004</v>
      </c>
      <c r="D9" s="17">
        <f t="shared" si="2"/>
        <v>0.30000000000000004</v>
      </c>
      <c r="F9" s="3">
        <f>SUM(JAN:DEC!AL7)</f>
        <v>5</v>
      </c>
      <c r="G9" s="3">
        <f>SUM(JAN:DEC!AM7)</f>
        <v>14</v>
      </c>
      <c r="H9" s="3">
        <f>SUM(JAN:DEC!AN7)</f>
        <v>1</v>
      </c>
    </row>
    <row r="10" spans="2:15" x14ac:dyDescent="0.25">
      <c r="B10" s="6" t="s">
        <v>11</v>
      </c>
      <c r="C10" s="18">
        <f t="shared" si="1"/>
        <v>7.1428571428571397E-2</v>
      </c>
      <c r="D10" s="17">
        <f t="shared" si="2"/>
        <v>7.1428571428571397E-2</v>
      </c>
      <c r="F10" s="3">
        <f>SUM(JAN:DEC!AL8)</f>
        <v>0</v>
      </c>
      <c r="G10" s="3">
        <f>SUM(JAN:DEC!AM8)</f>
        <v>13</v>
      </c>
      <c r="H10" s="3">
        <f>SUM(JAN:DEC!AN8)</f>
        <v>1</v>
      </c>
    </row>
    <row r="11" spans="2:15" x14ac:dyDescent="0.25">
      <c r="B11" s="6" t="s">
        <v>12</v>
      </c>
      <c r="C11" s="18">
        <f t="shared" si="1"/>
        <v>1</v>
      </c>
      <c r="D11" s="17">
        <f t="shared" si="2"/>
        <v>1</v>
      </c>
      <c r="F11" s="3">
        <f>SUM(JAN:DEC!AL9)</f>
        <v>13</v>
      </c>
      <c r="G11" s="3">
        <f>SUM(JAN:DEC!AM9)</f>
        <v>0</v>
      </c>
      <c r="H11" s="3">
        <f>SUM(JAN:DEC!AN9)</f>
        <v>0</v>
      </c>
    </row>
    <row r="12" spans="2:15" x14ac:dyDescent="0.25">
      <c r="B12" s="6" t="s">
        <v>13</v>
      </c>
      <c r="C12" s="18">
        <f t="shared" si="1"/>
        <v>0.92307692307692313</v>
      </c>
      <c r="D12" s="17">
        <f t="shared" si="2"/>
        <v>0.92307692307692313</v>
      </c>
      <c r="F12" s="3">
        <f>SUM(JAN:DEC!AL10)</f>
        <v>12</v>
      </c>
      <c r="G12" s="3">
        <f>SUM(JAN:DEC!AM10)</f>
        <v>1</v>
      </c>
      <c r="H12" s="3">
        <f>SUM(JAN:DEC!AN10)</f>
        <v>0</v>
      </c>
    </row>
    <row r="13" spans="2:15" x14ac:dyDescent="0.25">
      <c r="B13" s="6" t="s">
        <v>14</v>
      </c>
      <c r="C13" s="18">
        <f t="shared" si="1"/>
        <v>0</v>
      </c>
      <c r="D13" s="17">
        <f t="shared" si="2"/>
        <v>0</v>
      </c>
      <c r="F13" s="3">
        <f>SUM(JAN:DEC!AL11)</f>
        <v>0</v>
      </c>
      <c r="G13" s="3">
        <f>SUM(JAN:DEC!AM11)</f>
        <v>0</v>
      </c>
      <c r="H13" s="3">
        <f>SUM(JAN:DEC!AN11)</f>
        <v>0</v>
      </c>
    </row>
    <row r="14" spans="2:15" x14ac:dyDescent="0.25">
      <c r="B14" s="6" t="s">
        <v>15</v>
      </c>
      <c r="C14" s="18">
        <f t="shared" si="1"/>
        <v>0</v>
      </c>
      <c r="D14" s="17">
        <f t="shared" si="2"/>
        <v>0</v>
      </c>
      <c r="F14" s="3">
        <f>SUM(JAN:DEC!AL12)</f>
        <v>0</v>
      </c>
      <c r="G14" s="3">
        <f>SUM(JAN:DEC!AM12)</f>
        <v>0</v>
      </c>
      <c r="H14" s="3">
        <f>SUM(JAN:DEC!AN12)</f>
        <v>0</v>
      </c>
    </row>
    <row r="15" spans="2:15" x14ac:dyDescent="0.25">
      <c r="B15" s="6" t="s">
        <v>16</v>
      </c>
      <c r="C15" s="18">
        <f t="shared" si="1"/>
        <v>0</v>
      </c>
      <c r="D15" s="17">
        <f t="shared" si="2"/>
        <v>0</v>
      </c>
      <c r="F15" s="3">
        <f>SUM(JAN:DEC!AL13)</f>
        <v>0</v>
      </c>
      <c r="G15" s="3">
        <f>SUM(JAN:DEC!AM13)</f>
        <v>0</v>
      </c>
      <c r="H15" s="3">
        <f>SUM(JAN:DEC!AN13)</f>
        <v>0</v>
      </c>
    </row>
  </sheetData>
  <mergeCells count="1">
    <mergeCell ref="C5:D5"/>
  </mergeCells>
  <conditionalFormatting sqref="D6:D15">
    <cfRule type="dataBar" priority="2">
      <dataBar showValue="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{4E373290-1884-4CE7-BAE3-38E3D0519DC8}</x14:id>
        </ext>
      </extLst>
    </cfRule>
  </conditionalFormatting>
  <conditionalFormatting sqref="D3">
    <cfRule type="dataBar" priority="1">
      <dataBar showValue="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{A8D29499-E676-4629-B62A-C451F3736C7C}</x14:id>
        </ext>
      </extLst>
    </cfRule>
  </conditionalFormatting>
  <dataValidations count="1">
    <dataValidation type="list" allowBlank="1" showInputMessage="1" showErrorMessage="1" sqref="K3" xr:uid="{C6200986-0766-48C7-B7B9-7EEE8DBDD7AB}">
      <formula1>$B$6:$B$15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373290-1884-4CE7-BAE3-38E3D0519D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D6:D15</xm:sqref>
        </x14:conditionalFormatting>
        <x14:conditionalFormatting xmlns:xm="http://schemas.microsoft.com/office/excel/2006/main">
          <x14:cfRule type="dataBar" id="{A8D29499-E676-4629-B62A-C451F3736C7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91D34-34B6-496B-BE59-D525E9C9CD04}">
  <dimension ref="B1:AN13"/>
  <sheetViews>
    <sheetView showGridLines="0" tabSelected="1" zoomScale="66" workbookViewId="0">
      <selection activeCell="AI27" sqref="AI27"/>
    </sheetView>
  </sheetViews>
  <sheetFormatPr defaultColWidth="4.7109375" defaultRowHeight="15" x14ac:dyDescent="0.25"/>
  <cols>
    <col min="1" max="1" width="4.7109375" style="1"/>
    <col min="2" max="2" width="12.7109375" style="7" customWidth="1"/>
    <col min="3" max="3" width="6.7109375" style="7" customWidth="1"/>
    <col min="4" max="4" width="12.7109375" style="7" customWidth="1"/>
    <col min="5" max="16384" width="4.7109375" style="1"/>
  </cols>
  <sheetData>
    <row r="1" spans="2:40" s="2" customFormat="1" ht="20.100000000000001" customHeight="1" x14ac:dyDescent="0.3">
      <c r="B1" s="5" t="s">
        <v>17</v>
      </c>
      <c r="C1" s="5"/>
      <c r="D1" s="5"/>
    </row>
    <row r="3" spans="2:40" x14ac:dyDescent="0.25">
      <c r="B3" s="9" t="s">
        <v>2</v>
      </c>
      <c r="C3" s="26" t="s">
        <v>3</v>
      </c>
      <c r="D3" s="26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  <c r="Y3" s="15">
        <v>20</v>
      </c>
      <c r="Z3" s="15">
        <v>21</v>
      </c>
      <c r="AA3" s="15">
        <v>22</v>
      </c>
      <c r="AB3" s="15">
        <v>23</v>
      </c>
      <c r="AC3" s="15">
        <v>24</v>
      </c>
      <c r="AD3" s="15">
        <v>25</v>
      </c>
      <c r="AE3" s="15">
        <v>26</v>
      </c>
      <c r="AF3" s="15">
        <v>27</v>
      </c>
      <c r="AG3" s="15">
        <v>28</v>
      </c>
      <c r="AH3" s="15">
        <v>29</v>
      </c>
      <c r="AI3" s="15">
        <v>30</v>
      </c>
      <c r="AJ3" s="15">
        <v>31</v>
      </c>
      <c r="AL3" s="12" t="str">
        <f>SUMMARY!F5</f>
        <v>Y</v>
      </c>
      <c r="AM3" s="13" t="str">
        <f>SUMMARY!G5</f>
        <v>N</v>
      </c>
      <c r="AN3" s="14" t="str">
        <f>SUMMARY!H5</f>
        <v>E</v>
      </c>
    </row>
    <row r="4" spans="2:40" x14ac:dyDescent="0.25">
      <c r="B4" s="8" t="str">
        <f>SUMMARY!B6</f>
        <v>Vinod</v>
      </c>
      <c r="C4" s="18">
        <f>D4</f>
        <v>0</v>
      </c>
      <c r="D4" s="17">
        <f>IF(COUNTA(F4:AJ4)=0,0,1-AM4/COUNTA(F4:AJ4))</f>
        <v>0</v>
      </c>
      <c r="F4" s="16" t="s">
        <v>5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L4" s="3">
        <f>COUNTIF($F4:$AJ4,AL$3)</f>
        <v>0</v>
      </c>
      <c r="AM4" s="3">
        <f t="shared" ref="AM4:AN13" si="0">COUNTIF($F4:$AJ4,AM$3)</f>
        <v>1</v>
      </c>
      <c r="AN4" s="3">
        <f t="shared" si="0"/>
        <v>0</v>
      </c>
    </row>
    <row r="5" spans="2:40" x14ac:dyDescent="0.25">
      <c r="B5" s="8" t="str">
        <f>SUMMARY!B7</f>
        <v>Rakesh</v>
      </c>
      <c r="C5" s="18">
        <f t="shared" ref="C5:C13" si="1">D5</f>
        <v>1</v>
      </c>
      <c r="D5" s="17">
        <f t="shared" ref="D5:D13" si="2">IF(COUNTA(F5:AJ5)=0,0,1-AM5/COUNTA(F5:AJ5))</f>
        <v>1</v>
      </c>
      <c r="F5" s="4" t="s">
        <v>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s">
        <v>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L5" s="3">
        <f t="shared" ref="AL5:AL13" si="3">COUNTIF($F5:$AJ5,AL$3)</f>
        <v>1</v>
      </c>
      <c r="AM5" s="3">
        <f t="shared" si="0"/>
        <v>0</v>
      </c>
      <c r="AN5" s="3">
        <f t="shared" si="0"/>
        <v>1</v>
      </c>
    </row>
    <row r="6" spans="2:40" x14ac:dyDescent="0.25">
      <c r="B6" s="8" t="str">
        <f>SUMMARY!B8</f>
        <v>charan</v>
      </c>
      <c r="C6" s="18">
        <f t="shared" si="1"/>
        <v>0</v>
      </c>
      <c r="D6" s="17">
        <f t="shared" si="2"/>
        <v>0</v>
      </c>
      <c r="F6" s="4"/>
      <c r="G6" s="4" t="s">
        <v>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L6" s="3">
        <f t="shared" si="3"/>
        <v>0</v>
      </c>
      <c r="AM6" s="3">
        <f t="shared" si="0"/>
        <v>1</v>
      </c>
      <c r="AN6" s="3">
        <f t="shared" si="0"/>
        <v>0</v>
      </c>
    </row>
    <row r="7" spans="2:40" x14ac:dyDescent="0.25">
      <c r="B7" s="8" t="str">
        <f>SUMMARY!B9</f>
        <v>ranganna</v>
      </c>
      <c r="C7" s="18">
        <f t="shared" si="1"/>
        <v>0.66666666666666674</v>
      </c>
      <c r="D7" s="17">
        <f t="shared" si="2"/>
        <v>0.66666666666666674</v>
      </c>
      <c r="F7" s="4"/>
      <c r="G7" s="4" t="s">
        <v>5</v>
      </c>
      <c r="H7" s="4"/>
      <c r="I7" s="4"/>
      <c r="J7" s="4"/>
      <c r="K7" s="4" t="s">
        <v>4</v>
      </c>
      <c r="L7" s="4"/>
      <c r="M7" s="4" t="s">
        <v>4</v>
      </c>
      <c r="N7" s="4" t="s">
        <v>4</v>
      </c>
      <c r="O7" s="4" t="s">
        <v>4</v>
      </c>
      <c r="P7" s="4"/>
      <c r="Q7" s="4" t="s">
        <v>5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L7" s="3">
        <f t="shared" si="3"/>
        <v>4</v>
      </c>
      <c r="AM7" s="3">
        <f t="shared" si="0"/>
        <v>2</v>
      </c>
      <c r="AN7" s="3">
        <f t="shared" si="0"/>
        <v>0</v>
      </c>
    </row>
    <row r="8" spans="2:40" x14ac:dyDescent="0.25">
      <c r="B8" s="8" t="str">
        <f>SUMMARY!B10</f>
        <v>vinod kumar</v>
      </c>
      <c r="C8" s="18">
        <f t="shared" si="1"/>
        <v>0</v>
      </c>
      <c r="D8" s="17">
        <f t="shared" si="2"/>
        <v>0</v>
      </c>
      <c r="F8" s="4" t="s">
        <v>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 t="s">
        <v>5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L8" s="3">
        <f t="shared" si="3"/>
        <v>0</v>
      </c>
      <c r="AM8" s="3">
        <f t="shared" si="0"/>
        <v>2</v>
      </c>
      <c r="AN8" s="3">
        <f t="shared" si="0"/>
        <v>0</v>
      </c>
    </row>
    <row r="9" spans="2:40" x14ac:dyDescent="0.25">
      <c r="B9" s="8" t="str">
        <f>SUMMARY!B11</f>
        <v>saifuddin</v>
      </c>
      <c r="C9" s="18">
        <f t="shared" si="1"/>
        <v>1</v>
      </c>
      <c r="D9" s="17">
        <f t="shared" si="2"/>
        <v>1</v>
      </c>
      <c r="F9" s="4"/>
      <c r="G9" s="4" t="s">
        <v>4</v>
      </c>
      <c r="H9" s="4"/>
      <c r="I9" s="4"/>
      <c r="J9" s="4"/>
      <c r="K9" s="4"/>
      <c r="L9" s="4"/>
      <c r="M9" s="4"/>
      <c r="N9" s="4"/>
      <c r="O9" s="4" t="s">
        <v>4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L9" s="3">
        <f t="shared" si="3"/>
        <v>2</v>
      </c>
      <c r="AM9" s="3">
        <f t="shared" si="0"/>
        <v>0</v>
      </c>
      <c r="AN9" s="3">
        <f t="shared" si="0"/>
        <v>0</v>
      </c>
    </row>
    <row r="10" spans="2:40" x14ac:dyDescent="0.25">
      <c r="B10" s="8" t="str">
        <f>SUMMARY!B12</f>
        <v>pawan kumar</v>
      </c>
      <c r="C10" s="18">
        <f t="shared" si="1"/>
        <v>0.5</v>
      </c>
      <c r="D10" s="17">
        <f t="shared" si="2"/>
        <v>0.5</v>
      </c>
      <c r="F10" s="4" t="s">
        <v>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 t="s">
        <v>5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L10" s="3">
        <f t="shared" si="3"/>
        <v>1</v>
      </c>
      <c r="AM10" s="3">
        <f t="shared" si="0"/>
        <v>1</v>
      </c>
      <c r="AN10" s="3">
        <f t="shared" si="0"/>
        <v>0</v>
      </c>
    </row>
    <row r="11" spans="2:40" x14ac:dyDescent="0.25">
      <c r="B11" s="8" t="str">
        <f>SUMMARY!B13</f>
        <v>gouthm</v>
      </c>
      <c r="C11" s="18">
        <f t="shared" si="1"/>
        <v>0</v>
      </c>
      <c r="D11" s="17">
        <f t="shared" si="2"/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L11" s="3">
        <f t="shared" si="3"/>
        <v>0</v>
      </c>
      <c r="AM11" s="3">
        <f t="shared" si="0"/>
        <v>0</v>
      </c>
      <c r="AN11" s="3">
        <f t="shared" si="0"/>
        <v>0</v>
      </c>
    </row>
    <row r="12" spans="2:40" x14ac:dyDescent="0.25">
      <c r="B12" s="8" t="str">
        <f>SUMMARY!B14</f>
        <v>moksha</v>
      </c>
      <c r="C12" s="18">
        <f t="shared" si="1"/>
        <v>0</v>
      </c>
      <c r="D12" s="17">
        <f t="shared" si="2"/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L12" s="3">
        <f t="shared" si="3"/>
        <v>0</v>
      </c>
      <c r="AM12" s="3">
        <f t="shared" si="0"/>
        <v>0</v>
      </c>
      <c r="AN12" s="3">
        <f t="shared" si="0"/>
        <v>0</v>
      </c>
    </row>
    <row r="13" spans="2:40" x14ac:dyDescent="0.25">
      <c r="B13" s="8" t="str">
        <f>SUMMARY!B15</f>
        <v>chandan</v>
      </c>
      <c r="C13" s="18">
        <f t="shared" si="1"/>
        <v>0</v>
      </c>
      <c r="D13" s="17">
        <f t="shared" si="2"/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L13" s="3">
        <f t="shared" si="3"/>
        <v>0</v>
      </c>
      <c r="AM13" s="3">
        <f t="shared" si="0"/>
        <v>0</v>
      </c>
      <c r="AN13" s="3">
        <f t="shared" si="0"/>
        <v>0</v>
      </c>
    </row>
  </sheetData>
  <mergeCells count="1">
    <mergeCell ref="C3:D3"/>
  </mergeCells>
  <conditionalFormatting sqref="F4:AJ13">
    <cfRule type="cellIs" dxfId="35" priority="2" operator="equal">
      <formula>$AN$3</formula>
    </cfRule>
    <cfRule type="cellIs" dxfId="34" priority="3" operator="equal">
      <formula>$AM$3</formula>
    </cfRule>
    <cfRule type="cellIs" dxfId="33" priority="4" operator="equal">
      <formula>$AL$3</formula>
    </cfRule>
  </conditionalFormatting>
  <conditionalFormatting sqref="D4:D13">
    <cfRule type="dataBar" priority="1">
      <dataBar showValue="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{F8D6F5F4-2967-4F1E-8E76-FA612F7B0A90}</x14:id>
        </ext>
      </extLst>
    </cfRule>
  </conditionalFormatting>
  <dataValidations count="1">
    <dataValidation type="list" allowBlank="1" showInputMessage="1" showErrorMessage="1" sqref="F4:AJ13" xr:uid="{7E584643-6C4D-48AE-8F82-1D17557ABD59}">
      <formula1>$AL$3:$AN$3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D6F5F4-2967-4F1E-8E76-FA612F7B0A9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D4:D13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D5498-2EC2-4D62-8E2C-6A2F518442D5}">
  <dimension ref="B1:AN13"/>
  <sheetViews>
    <sheetView showGridLines="0" topLeftCell="N1" workbookViewId="0">
      <selection activeCell="AL4" sqref="AL4:AN13"/>
    </sheetView>
  </sheetViews>
  <sheetFormatPr defaultColWidth="4.7109375" defaultRowHeight="15" x14ac:dyDescent="0.25"/>
  <cols>
    <col min="1" max="1" width="4.7109375" style="1"/>
    <col min="2" max="2" width="12.7109375" style="7" customWidth="1"/>
    <col min="3" max="3" width="6.7109375" style="7" customWidth="1"/>
    <col min="4" max="4" width="12.7109375" style="7" customWidth="1"/>
    <col min="5" max="16384" width="4.7109375" style="1"/>
  </cols>
  <sheetData>
    <row r="1" spans="2:40" s="2" customFormat="1" ht="20.100000000000001" customHeight="1" x14ac:dyDescent="0.3">
      <c r="B1" s="5" t="s">
        <v>18</v>
      </c>
      <c r="C1" s="5"/>
      <c r="D1" s="5"/>
    </row>
    <row r="3" spans="2:40" x14ac:dyDescent="0.25">
      <c r="B3" s="9" t="s">
        <v>2</v>
      </c>
      <c r="C3" s="26" t="s">
        <v>3</v>
      </c>
      <c r="D3" s="26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  <c r="Y3" s="15">
        <v>20</v>
      </c>
      <c r="Z3" s="15">
        <v>21</v>
      </c>
      <c r="AA3" s="15">
        <v>22</v>
      </c>
      <c r="AB3" s="15">
        <v>23</v>
      </c>
      <c r="AC3" s="15">
        <v>24</v>
      </c>
      <c r="AD3" s="15">
        <v>25</v>
      </c>
      <c r="AE3" s="15">
        <v>26</v>
      </c>
      <c r="AF3" s="15">
        <v>27</v>
      </c>
      <c r="AG3" s="15">
        <v>28</v>
      </c>
      <c r="AH3" s="15">
        <v>29</v>
      </c>
      <c r="AI3" s="15">
        <v>30</v>
      </c>
      <c r="AJ3" s="15">
        <v>31</v>
      </c>
      <c r="AL3" s="12" t="str">
        <f>SUMMARY!F5</f>
        <v>Y</v>
      </c>
      <c r="AM3" s="13" t="str">
        <f>SUMMARY!G5</f>
        <v>N</v>
      </c>
      <c r="AN3" s="14" t="str">
        <f>SUMMARY!H5</f>
        <v>E</v>
      </c>
    </row>
    <row r="4" spans="2:40" x14ac:dyDescent="0.25">
      <c r="B4" s="8" t="str">
        <f>SUMMARY!B6</f>
        <v>Vinod</v>
      </c>
      <c r="C4" s="18">
        <f>D4</f>
        <v>0.4</v>
      </c>
      <c r="D4" s="17">
        <f>IF(COUNTA(F4:AJ4)=0,0,1-AM4/COUNTA(F4:AJ4))</f>
        <v>0.4</v>
      </c>
      <c r="F4" s="16" t="s">
        <v>5</v>
      </c>
      <c r="G4" s="16"/>
      <c r="H4" s="16"/>
      <c r="I4" s="16" t="s">
        <v>5</v>
      </c>
      <c r="J4" s="16"/>
      <c r="K4" s="16" t="s">
        <v>5</v>
      </c>
      <c r="L4" s="16"/>
      <c r="M4" s="16" t="s">
        <v>6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 t="s">
        <v>4</v>
      </c>
      <c r="AC4" s="16"/>
      <c r="AD4" s="16"/>
      <c r="AE4" s="16"/>
      <c r="AF4" s="16"/>
      <c r="AG4" s="16"/>
      <c r="AH4" s="16"/>
      <c r="AI4" s="16"/>
      <c r="AJ4" s="16"/>
      <c r="AL4" s="3">
        <f>COUNTIF($F4:$AJ4,AL$3)</f>
        <v>1</v>
      </c>
      <c r="AM4" s="3">
        <f t="shared" ref="AM4:AN13" si="0">COUNTIF($F4:$AJ4,AM$3)</f>
        <v>3</v>
      </c>
      <c r="AN4" s="3">
        <f t="shared" si="0"/>
        <v>1</v>
      </c>
    </row>
    <row r="5" spans="2:40" x14ac:dyDescent="0.25">
      <c r="B5" s="8" t="str">
        <f>SUMMARY!B7</f>
        <v>Rakesh</v>
      </c>
      <c r="C5" s="18">
        <f t="shared" ref="C5:C13" si="1">D5</f>
        <v>1</v>
      </c>
      <c r="D5" s="17">
        <f t="shared" ref="D5:D13" si="2">IF(COUNTA(F5:AJ5)=0,0,1-AM5/COUNTA(F5:AJ5))</f>
        <v>1</v>
      </c>
      <c r="F5" s="4" t="s">
        <v>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L5" s="3">
        <f t="shared" ref="AL5:AL13" si="3">COUNTIF($F5:$AJ5,AL$3)</f>
        <v>0</v>
      </c>
      <c r="AM5" s="3">
        <f t="shared" si="0"/>
        <v>0</v>
      </c>
      <c r="AN5" s="3">
        <f t="shared" si="0"/>
        <v>1</v>
      </c>
    </row>
    <row r="6" spans="2:40" x14ac:dyDescent="0.25">
      <c r="B6" s="8" t="str">
        <f>SUMMARY!B8</f>
        <v>charan</v>
      </c>
      <c r="C6" s="18">
        <f t="shared" si="1"/>
        <v>0</v>
      </c>
      <c r="D6" s="17">
        <f t="shared" si="2"/>
        <v>0</v>
      </c>
      <c r="F6" s="4"/>
      <c r="G6" s="4" t="s">
        <v>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L6" s="3">
        <f t="shared" si="3"/>
        <v>0</v>
      </c>
      <c r="AM6" s="3">
        <f t="shared" si="0"/>
        <v>1</v>
      </c>
      <c r="AN6" s="3">
        <f t="shared" si="0"/>
        <v>0</v>
      </c>
    </row>
    <row r="7" spans="2:40" x14ac:dyDescent="0.25">
      <c r="B7" s="8" t="str">
        <f>SUMMARY!B9</f>
        <v>ranganna</v>
      </c>
      <c r="C7" s="18">
        <f t="shared" si="1"/>
        <v>0.5</v>
      </c>
      <c r="D7" s="17">
        <f t="shared" si="2"/>
        <v>0.5</v>
      </c>
      <c r="F7" s="4"/>
      <c r="G7" s="4" t="s">
        <v>5</v>
      </c>
      <c r="H7" s="4"/>
      <c r="I7" s="4"/>
      <c r="J7" s="4"/>
      <c r="K7" s="4"/>
      <c r="L7" s="4"/>
      <c r="M7" s="4" t="s">
        <v>4</v>
      </c>
      <c r="N7" s="4"/>
      <c r="O7" s="4"/>
      <c r="P7" s="4"/>
      <c r="Q7" s="4"/>
      <c r="R7" s="4"/>
      <c r="S7" s="4"/>
      <c r="T7" s="4"/>
      <c r="U7" s="4"/>
      <c r="V7" s="4" t="s">
        <v>6</v>
      </c>
      <c r="W7" s="4"/>
      <c r="X7" s="4"/>
      <c r="Y7" s="4" t="s">
        <v>5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L7" s="3">
        <f t="shared" si="3"/>
        <v>1</v>
      </c>
      <c r="AM7" s="3">
        <f t="shared" si="0"/>
        <v>2</v>
      </c>
      <c r="AN7" s="3">
        <f t="shared" si="0"/>
        <v>1</v>
      </c>
    </row>
    <row r="8" spans="2:40" x14ac:dyDescent="0.25">
      <c r="B8" s="8" t="str">
        <f>SUMMARY!B10</f>
        <v>vinod kumar</v>
      </c>
      <c r="C8" s="18">
        <f t="shared" si="1"/>
        <v>0.5</v>
      </c>
      <c r="D8" s="17">
        <f t="shared" si="2"/>
        <v>0.5</v>
      </c>
      <c r="F8" s="4" t="s">
        <v>5</v>
      </c>
      <c r="G8" s="4"/>
      <c r="H8" s="4"/>
      <c r="I8" s="4"/>
      <c r="J8" s="4"/>
      <c r="K8" s="4"/>
      <c r="L8" s="4"/>
      <c r="M8" s="4"/>
      <c r="N8" s="4"/>
      <c r="O8" s="4"/>
      <c r="P8" s="4"/>
      <c r="Q8" s="4" t="s">
        <v>6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L8" s="3">
        <f t="shared" si="3"/>
        <v>0</v>
      </c>
      <c r="AM8" s="3">
        <f t="shared" si="0"/>
        <v>1</v>
      </c>
      <c r="AN8" s="3">
        <f t="shared" si="0"/>
        <v>1</v>
      </c>
    </row>
    <row r="9" spans="2:40" x14ac:dyDescent="0.25">
      <c r="B9" s="8" t="str">
        <f>SUMMARY!B11</f>
        <v>saifuddin</v>
      </c>
      <c r="C9" s="18">
        <f t="shared" si="1"/>
        <v>1</v>
      </c>
      <c r="D9" s="17">
        <f t="shared" si="2"/>
        <v>1</v>
      </c>
      <c r="F9" s="4"/>
      <c r="G9" s="4" t="s">
        <v>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L9" s="3">
        <f t="shared" si="3"/>
        <v>1</v>
      </c>
      <c r="AM9" s="3">
        <f t="shared" si="0"/>
        <v>0</v>
      </c>
      <c r="AN9" s="3">
        <f t="shared" si="0"/>
        <v>0</v>
      </c>
    </row>
    <row r="10" spans="2:40" x14ac:dyDescent="0.25">
      <c r="B10" s="8" t="str">
        <f>SUMMARY!B12</f>
        <v>pawan kumar</v>
      </c>
      <c r="C10" s="18">
        <f t="shared" si="1"/>
        <v>1</v>
      </c>
      <c r="D10" s="17">
        <f t="shared" si="2"/>
        <v>1</v>
      </c>
      <c r="F10" s="4" t="s">
        <v>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L10" s="3">
        <f t="shared" si="3"/>
        <v>1</v>
      </c>
      <c r="AM10" s="3">
        <f t="shared" si="0"/>
        <v>0</v>
      </c>
      <c r="AN10" s="3">
        <f t="shared" si="0"/>
        <v>0</v>
      </c>
    </row>
    <row r="11" spans="2:40" x14ac:dyDescent="0.25">
      <c r="B11" s="8" t="str">
        <f>SUMMARY!B13</f>
        <v>gouthm</v>
      </c>
      <c r="C11" s="18">
        <f t="shared" si="1"/>
        <v>0</v>
      </c>
      <c r="D11" s="17">
        <f t="shared" si="2"/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L11" s="3">
        <f t="shared" si="3"/>
        <v>0</v>
      </c>
      <c r="AM11" s="3">
        <f t="shared" si="0"/>
        <v>0</v>
      </c>
      <c r="AN11" s="3">
        <f t="shared" si="0"/>
        <v>0</v>
      </c>
    </row>
    <row r="12" spans="2:40" x14ac:dyDescent="0.25">
      <c r="B12" s="8" t="str">
        <f>SUMMARY!B14</f>
        <v>moksha</v>
      </c>
      <c r="C12" s="18">
        <f t="shared" si="1"/>
        <v>0</v>
      </c>
      <c r="D12" s="17">
        <f t="shared" si="2"/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L12" s="3">
        <f t="shared" si="3"/>
        <v>0</v>
      </c>
      <c r="AM12" s="3">
        <f t="shared" si="0"/>
        <v>0</v>
      </c>
      <c r="AN12" s="3">
        <f t="shared" si="0"/>
        <v>0</v>
      </c>
    </row>
    <row r="13" spans="2:40" x14ac:dyDescent="0.25">
      <c r="B13" s="8" t="str">
        <f>SUMMARY!B15</f>
        <v>chandan</v>
      </c>
      <c r="C13" s="18">
        <f t="shared" si="1"/>
        <v>0</v>
      </c>
      <c r="D13" s="17">
        <f t="shared" si="2"/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L13" s="3">
        <f t="shared" si="3"/>
        <v>0</v>
      </c>
      <c r="AM13" s="3">
        <f t="shared" si="0"/>
        <v>0</v>
      </c>
      <c r="AN13" s="3">
        <f t="shared" si="0"/>
        <v>0</v>
      </c>
    </row>
  </sheetData>
  <mergeCells count="1">
    <mergeCell ref="C3:D3"/>
  </mergeCells>
  <conditionalFormatting sqref="F4:AJ13">
    <cfRule type="cellIs" dxfId="32" priority="2" operator="equal">
      <formula>$AN$3</formula>
    </cfRule>
    <cfRule type="cellIs" dxfId="31" priority="3" operator="equal">
      <formula>$AM$3</formula>
    </cfRule>
    <cfRule type="cellIs" dxfId="30" priority="4" operator="equal">
      <formula>$AL$3</formula>
    </cfRule>
  </conditionalFormatting>
  <conditionalFormatting sqref="D4:D13">
    <cfRule type="dataBar" priority="1">
      <dataBar showValue="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{D4E41D2A-04F9-4FBD-BB5D-8FF86FEAC82A}</x14:id>
        </ext>
      </extLst>
    </cfRule>
  </conditionalFormatting>
  <dataValidations count="1">
    <dataValidation type="list" allowBlank="1" showInputMessage="1" showErrorMessage="1" sqref="F4:AJ13" xr:uid="{15DAF2EC-0842-4B94-8F8F-B8FE444C8319}">
      <formula1>$AL$3:$AN$3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E41D2A-04F9-4FBD-BB5D-8FF86FEAC82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D4:D13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D4E5B-226C-44A6-B75F-A795CDDBC4BF}">
  <dimension ref="B1:AN13"/>
  <sheetViews>
    <sheetView showGridLines="0" topLeftCell="E1" workbookViewId="0">
      <selection activeCell="AL4" sqref="AL4:AN13"/>
    </sheetView>
  </sheetViews>
  <sheetFormatPr defaultColWidth="4.7109375" defaultRowHeight="15" x14ac:dyDescent="0.25"/>
  <cols>
    <col min="1" max="1" width="4.7109375" style="1"/>
    <col min="2" max="2" width="12.7109375" style="7" customWidth="1"/>
    <col min="3" max="3" width="6.7109375" style="7" customWidth="1"/>
    <col min="4" max="4" width="12.7109375" style="7" customWidth="1"/>
    <col min="5" max="16384" width="4.7109375" style="1"/>
  </cols>
  <sheetData>
    <row r="1" spans="2:40" s="2" customFormat="1" ht="20.100000000000001" customHeight="1" x14ac:dyDescent="0.3">
      <c r="B1" s="5" t="s">
        <v>19</v>
      </c>
      <c r="C1" s="5"/>
      <c r="D1" s="5"/>
    </row>
    <row r="3" spans="2:40" x14ac:dyDescent="0.25">
      <c r="B3" s="9" t="s">
        <v>2</v>
      </c>
      <c r="C3" s="26" t="s">
        <v>3</v>
      </c>
      <c r="D3" s="26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  <c r="Y3" s="15">
        <v>20</v>
      </c>
      <c r="Z3" s="15">
        <v>21</v>
      </c>
      <c r="AA3" s="15">
        <v>22</v>
      </c>
      <c r="AB3" s="15">
        <v>23</v>
      </c>
      <c r="AC3" s="15">
        <v>24</v>
      </c>
      <c r="AD3" s="15">
        <v>25</v>
      </c>
      <c r="AE3" s="15">
        <v>26</v>
      </c>
      <c r="AF3" s="15">
        <v>27</v>
      </c>
      <c r="AG3" s="15">
        <v>28</v>
      </c>
      <c r="AH3" s="15">
        <v>29</v>
      </c>
      <c r="AI3" s="15">
        <v>30</v>
      </c>
      <c r="AJ3" s="15">
        <v>31</v>
      </c>
      <c r="AL3" s="12" t="str">
        <f>SUMMARY!F5</f>
        <v>Y</v>
      </c>
      <c r="AM3" s="13" t="str">
        <f>SUMMARY!G5</f>
        <v>N</v>
      </c>
      <c r="AN3" s="14" t="str">
        <f>SUMMARY!H5</f>
        <v>E</v>
      </c>
    </row>
    <row r="4" spans="2:40" x14ac:dyDescent="0.25">
      <c r="B4" s="8" t="str">
        <f>SUMMARY!B6</f>
        <v>Vinod</v>
      </c>
      <c r="C4" s="18">
        <f>D4</f>
        <v>0.875</v>
      </c>
      <c r="D4" s="17">
        <f>IF(COUNTA(F4:AJ4)=0,0,1-AM4/COUNTA(F4:AJ4))</f>
        <v>0.875</v>
      </c>
      <c r="F4" s="16" t="s">
        <v>5</v>
      </c>
      <c r="G4" s="16" t="s">
        <v>4</v>
      </c>
      <c r="H4" s="16" t="s">
        <v>4</v>
      </c>
      <c r="I4" s="16" t="s">
        <v>4</v>
      </c>
      <c r="J4" s="16"/>
      <c r="K4" s="16" t="s">
        <v>4</v>
      </c>
      <c r="L4" s="16"/>
      <c r="M4" s="16" t="s">
        <v>4</v>
      </c>
      <c r="N4" s="16"/>
      <c r="O4" s="16" t="s">
        <v>4</v>
      </c>
      <c r="P4" s="16"/>
      <c r="Q4" s="16"/>
      <c r="R4" s="16" t="s">
        <v>4</v>
      </c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L4" s="3">
        <f>COUNTIF($F4:$AJ4,AL$3)</f>
        <v>7</v>
      </c>
      <c r="AM4" s="3">
        <f t="shared" ref="AM4:AN13" si="0">COUNTIF($F4:$AJ4,AM$3)</f>
        <v>1</v>
      </c>
      <c r="AN4" s="3">
        <f t="shared" si="0"/>
        <v>0</v>
      </c>
    </row>
    <row r="5" spans="2:40" x14ac:dyDescent="0.25">
      <c r="B5" s="8" t="str">
        <f>SUMMARY!B7</f>
        <v>Rakesh</v>
      </c>
      <c r="C5" s="18">
        <f t="shared" ref="C5:C13" si="1">D5</f>
        <v>1</v>
      </c>
      <c r="D5" s="17">
        <f t="shared" ref="D5:D13" si="2">IF(COUNTA(F5:AJ5)=0,0,1-AM5/COUNTA(F5:AJ5))</f>
        <v>1</v>
      </c>
      <c r="F5" s="4" t="s">
        <v>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L5" s="3">
        <f t="shared" ref="AL5:AL13" si="3">COUNTIF($F5:$AJ5,AL$3)</f>
        <v>0</v>
      </c>
      <c r="AM5" s="3">
        <f t="shared" si="0"/>
        <v>0</v>
      </c>
      <c r="AN5" s="3">
        <f t="shared" si="0"/>
        <v>1</v>
      </c>
    </row>
    <row r="6" spans="2:40" x14ac:dyDescent="0.25">
      <c r="B6" s="8" t="str">
        <f>SUMMARY!B8</f>
        <v>charan</v>
      </c>
      <c r="C6" s="18">
        <f t="shared" si="1"/>
        <v>0.5</v>
      </c>
      <c r="D6" s="17">
        <f t="shared" si="2"/>
        <v>0.5</v>
      </c>
      <c r="F6" s="4"/>
      <c r="G6" s="4" t="s">
        <v>5</v>
      </c>
      <c r="H6" s="4"/>
      <c r="I6" s="4" t="s">
        <v>4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L6" s="3">
        <f t="shared" si="3"/>
        <v>1</v>
      </c>
      <c r="AM6" s="3">
        <f t="shared" si="0"/>
        <v>1</v>
      </c>
      <c r="AN6" s="3">
        <f t="shared" si="0"/>
        <v>0</v>
      </c>
    </row>
    <row r="7" spans="2:40" x14ac:dyDescent="0.25">
      <c r="B7" s="8" t="str">
        <f>SUMMARY!B9</f>
        <v>ranganna</v>
      </c>
      <c r="C7" s="18">
        <f t="shared" si="1"/>
        <v>0</v>
      </c>
      <c r="D7" s="17">
        <f t="shared" si="2"/>
        <v>0</v>
      </c>
      <c r="F7" s="4"/>
      <c r="G7" s="4" t="s">
        <v>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L7" s="3">
        <f t="shared" si="3"/>
        <v>0</v>
      </c>
      <c r="AM7" s="3">
        <f t="shared" si="0"/>
        <v>1</v>
      </c>
      <c r="AN7" s="3">
        <f t="shared" si="0"/>
        <v>0</v>
      </c>
    </row>
    <row r="8" spans="2:40" x14ac:dyDescent="0.25">
      <c r="B8" s="8" t="str">
        <f>SUMMARY!B10</f>
        <v>vinod kumar</v>
      </c>
      <c r="C8" s="18">
        <f t="shared" si="1"/>
        <v>0</v>
      </c>
      <c r="D8" s="17">
        <f t="shared" si="2"/>
        <v>0</v>
      </c>
      <c r="F8" s="4" t="s">
        <v>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L8" s="3">
        <f t="shared" si="3"/>
        <v>0</v>
      </c>
      <c r="AM8" s="3">
        <f t="shared" si="0"/>
        <v>1</v>
      </c>
      <c r="AN8" s="3">
        <f t="shared" si="0"/>
        <v>0</v>
      </c>
    </row>
    <row r="9" spans="2:40" x14ac:dyDescent="0.25">
      <c r="B9" s="8" t="str">
        <f>SUMMARY!B11</f>
        <v>saifuddin</v>
      </c>
      <c r="C9" s="18">
        <f t="shared" si="1"/>
        <v>1</v>
      </c>
      <c r="D9" s="17">
        <f t="shared" si="2"/>
        <v>1</v>
      </c>
      <c r="F9" s="4"/>
      <c r="G9" s="4" t="s">
        <v>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L9" s="3">
        <f t="shared" si="3"/>
        <v>1</v>
      </c>
      <c r="AM9" s="3">
        <f t="shared" si="0"/>
        <v>0</v>
      </c>
      <c r="AN9" s="3">
        <f t="shared" si="0"/>
        <v>0</v>
      </c>
    </row>
    <row r="10" spans="2:40" x14ac:dyDescent="0.25">
      <c r="B10" s="8" t="str">
        <f>SUMMARY!B12</f>
        <v>pawan kumar</v>
      </c>
      <c r="C10" s="18">
        <f t="shared" si="1"/>
        <v>1</v>
      </c>
      <c r="D10" s="17">
        <f t="shared" si="2"/>
        <v>1</v>
      </c>
      <c r="F10" s="4" t="s">
        <v>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L10" s="3">
        <f t="shared" si="3"/>
        <v>1</v>
      </c>
      <c r="AM10" s="3">
        <f t="shared" si="0"/>
        <v>0</v>
      </c>
      <c r="AN10" s="3">
        <f t="shared" si="0"/>
        <v>0</v>
      </c>
    </row>
    <row r="11" spans="2:40" x14ac:dyDescent="0.25">
      <c r="B11" s="8" t="str">
        <f>SUMMARY!B13</f>
        <v>gouthm</v>
      </c>
      <c r="C11" s="18">
        <f t="shared" si="1"/>
        <v>0</v>
      </c>
      <c r="D11" s="17">
        <f t="shared" si="2"/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L11" s="3">
        <f t="shared" si="3"/>
        <v>0</v>
      </c>
      <c r="AM11" s="3">
        <f t="shared" si="0"/>
        <v>0</v>
      </c>
      <c r="AN11" s="3">
        <f t="shared" si="0"/>
        <v>0</v>
      </c>
    </row>
    <row r="12" spans="2:40" x14ac:dyDescent="0.25">
      <c r="B12" s="8" t="str">
        <f>SUMMARY!B14</f>
        <v>moksha</v>
      </c>
      <c r="C12" s="18">
        <f t="shared" si="1"/>
        <v>0</v>
      </c>
      <c r="D12" s="17">
        <f t="shared" si="2"/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L12" s="3">
        <f t="shared" si="3"/>
        <v>0</v>
      </c>
      <c r="AM12" s="3">
        <f t="shared" si="0"/>
        <v>0</v>
      </c>
      <c r="AN12" s="3">
        <f t="shared" si="0"/>
        <v>0</v>
      </c>
    </row>
    <row r="13" spans="2:40" x14ac:dyDescent="0.25">
      <c r="B13" s="8" t="str">
        <f>SUMMARY!B15</f>
        <v>chandan</v>
      </c>
      <c r="C13" s="18">
        <f t="shared" si="1"/>
        <v>0</v>
      </c>
      <c r="D13" s="17">
        <f t="shared" si="2"/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L13" s="3">
        <f t="shared" si="3"/>
        <v>0</v>
      </c>
      <c r="AM13" s="3">
        <f t="shared" si="0"/>
        <v>0</v>
      </c>
      <c r="AN13" s="3">
        <f t="shared" si="0"/>
        <v>0</v>
      </c>
    </row>
  </sheetData>
  <mergeCells count="1">
    <mergeCell ref="C3:D3"/>
  </mergeCells>
  <conditionalFormatting sqref="F4:AJ13">
    <cfRule type="cellIs" dxfId="29" priority="3" operator="equal">
      <formula>$AN$3</formula>
    </cfRule>
    <cfRule type="cellIs" dxfId="28" priority="4" operator="equal">
      <formula>$AM$3</formula>
    </cfRule>
    <cfRule type="cellIs" dxfId="27" priority="5" operator="equal">
      <formula>$AL$3</formula>
    </cfRule>
  </conditionalFormatting>
  <conditionalFormatting sqref="D4:D13">
    <cfRule type="dataBar" priority="1">
      <dataBar showValue="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{06B17959-B7C4-4E2F-A548-08C788CB1CA4}</x14:id>
        </ext>
      </extLst>
    </cfRule>
  </conditionalFormatting>
  <dataValidations count="1">
    <dataValidation type="list" allowBlank="1" showInputMessage="1" showErrorMessage="1" sqref="F4:AJ13" xr:uid="{2C6A3B4A-14A0-4FE4-89B0-B185CEF9D1BE}">
      <formula1>$AL$3:$AN$3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B17959-B7C4-4E2F-A548-08C788CB1CA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D4:D13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89F2B-6FB3-4E52-B07D-6E8F4B2B1053}">
  <dimension ref="B1:AN13"/>
  <sheetViews>
    <sheetView showGridLines="0" topLeftCell="P1" workbookViewId="0">
      <selection activeCell="AL4" sqref="AL4:AN13"/>
    </sheetView>
  </sheetViews>
  <sheetFormatPr defaultColWidth="4.7109375" defaultRowHeight="15" x14ac:dyDescent="0.25"/>
  <cols>
    <col min="1" max="1" width="4.7109375" style="1"/>
    <col min="2" max="2" width="12.7109375" style="7" customWidth="1"/>
    <col min="3" max="3" width="6.7109375" style="7" customWidth="1"/>
    <col min="4" max="4" width="12.7109375" style="7" customWidth="1"/>
    <col min="5" max="16384" width="4.7109375" style="1"/>
  </cols>
  <sheetData>
    <row r="1" spans="2:40" s="2" customFormat="1" ht="20.100000000000001" customHeight="1" x14ac:dyDescent="0.3">
      <c r="B1" s="5" t="s">
        <v>20</v>
      </c>
      <c r="C1" s="5"/>
      <c r="D1" s="5"/>
    </row>
    <row r="3" spans="2:40" x14ac:dyDescent="0.25">
      <c r="B3" s="9" t="s">
        <v>2</v>
      </c>
      <c r="C3" s="26" t="s">
        <v>3</v>
      </c>
      <c r="D3" s="26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  <c r="Y3" s="15">
        <v>20</v>
      </c>
      <c r="Z3" s="15">
        <v>21</v>
      </c>
      <c r="AA3" s="15">
        <v>22</v>
      </c>
      <c r="AB3" s="15">
        <v>23</v>
      </c>
      <c r="AC3" s="15">
        <v>24</v>
      </c>
      <c r="AD3" s="15">
        <v>25</v>
      </c>
      <c r="AE3" s="15">
        <v>26</v>
      </c>
      <c r="AF3" s="15">
        <v>27</v>
      </c>
      <c r="AG3" s="15">
        <v>28</v>
      </c>
      <c r="AH3" s="15">
        <v>29</v>
      </c>
      <c r="AI3" s="15">
        <v>30</v>
      </c>
      <c r="AJ3" s="15">
        <v>31</v>
      </c>
      <c r="AL3" s="12" t="str">
        <f>SUMMARY!F5</f>
        <v>Y</v>
      </c>
      <c r="AM3" s="13" t="str">
        <f>SUMMARY!G5</f>
        <v>N</v>
      </c>
      <c r="AN3" s="14" t="str">
        <f>SUMMARY!H5</f>
        <v>E</v>
      </c>
    </row>
    <row r="4" spans="2:40" x14ac:dyDescent="0.25">
      <c r="B4" s="8" t="str">
        <f>SUMMARY!B6</f>
        <v>Vinod</v>
      </c>
      <c r="C4" s="17">
        <f>D4</f>
        <v>0.5</v>
      </c>
      <c r="D4" s="8">
        <f>IF(COUNTA(F4:AJ4)=0,0,1-AM4/COUNTA(F4:AJ4))</f>
        <v>0.5</v>
      </c>
      <c r="F4" s="16" t="s">
        <v>5</v>
      </c>
      <c r="G4" s="16"/>
      <c r="H4" s="16" t="s">
        <v>4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L4" s="3">
        <f>COUNTIF($F4:$AJ4,AL$3)</f>
        <v>1</v>
      </c>
      <c r="AM4" s="3">
        <f t="shared" ref="AM4:AN13" si="0">COUNTIF($F4:$AJ4,AM$3)</f>
        <v>1</v>
      </c>
      <c r="AN4" s="3">
        <f t="shared" si="0"/>
        <v>0</v>
      </c>
    </row>
    <row r="5" spans="2:40" x14ac:dyDescent="0.25">
      <c r="B5" s="8" t="str">
        <f>SUMMARY!B7</f>
        <v>Rakesh</v>
      </c>
      <c r="C5" s="17">
        <f t="shared" ref="C5:C13" si="1">D5</f>
        <v>1</v>
      </c>
      <c r="D5" s="8">
        <f t="shared" ref="D5:D13" si="2">IF(COUNTA(F5:AJ5)=0,0,1-AM5/COUNTA(F5:AJ5))</f>
        <v>1</v>
      </c>
      <c r="F5" s="4" t="s">
        <v>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L5" s="3">
        <f t="shared" ref="AL5:AL13" si="3">COUNTIF($F5:$AJ5,AL$3)</f>
        <v>0</v>
      </c>
      <c r="AM5" s="3">
        <f t="shared" si="0"/>
        <v>0</v>
      </c>
      <c r="AN5" s="3">
        <f t="shared" si="0"/>
        <v>1</v>
      </c>
    </row>
    <row r="6" spans="2:40" x14ac:dyDescent="0.25">
      <c r="B6" s="8" t="str">
        <f>SUMMARY!B8</f>
        <v>charan</v>
      </c>
      <c r="C6" s="17">
        <f t="shared" si="1"/>
        <v>0.5</v>
      </c>
      <c r="D6" s="8">
        <f t="shared" si="2"/>
        <v>0.5</v>
      </c>
      <c r="F6" s="4"/>
      <c r="G6" s="4" t="s">
        <v>5</v>
      </c>
      <c r="H6" s="4"/>
      <c r="I6" s="4" t="s">
        <v>4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L6" s="3">
        <f t="shared" si="3"/>
        <v>1</v>
      </c>
      <c r="AM6" s="3">
        <f t="shared" si="0"/>
        <v>1</v>
      </c>
      <c r="AN6" s="3">
        <f t="shared" si="0"/>
        <v>0</v>
      </c>
    </row>
    <row r="7" spans="2:40" x14ac:dyDescent="0.25">
      <c r="B7" s="8" t="str">
        <f>SUMMARY!B9</f>
        <v>ranganna</v>
      </c>
      <c r="C7" s="17">
        <f t="shared" si="1"/>
        <v>0</v>
      </c>
      <c r="D7" s="8">
        <f t="shared" si="2"/>
        <v>0</v>
      </c>
      <c r="F7" s="4"/>
      <c r="G7" s="4" t="s">
        <v>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L7" s="3">
        <f t="shared" si="3"/>
        <v>0</v>
      </c>
      <c r="AM7" s="3">
        <f t="shared" si="0"/>
        <v>1</v>
      </c>
      <c r="AN7" s="3">
        <f t="shared" si="0"/>
        <v>0</v>
      </c>
    </row>
    <row r="8" spans="2:40" x14ac:dyDescent="0.25">
      <c r="B8" s="8" t="str">
        <f>SUMMARY!B10</f>
        <v>vinod kumar</v>
      </c>
      <c r="C8" s="17">
        <f t="shared" si="1"/>
        <v>0</v>
      </c>
      <c r="D8" s="8">
        <f t="shared" si="2"/>
        <v>0</v>
      </c>
      <c r="F8" s="4" t="s">
        <v>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L8" s="3">
        <f t="shared" si="3"/>
        <v>0</v>
      </c>
      <c r="AM8" s="3">
        <f t="shared" si="0"/>
        <v>1</v>
      </c>
      <c r="AN8" s="3">
        <f t="shared" si="0"/>
        <v>0</v>
      </c>
    </row>
    <row r="9" spans="2:40" x14ac:dyDescent="0.25">
      <c r="B9" s="8" t="str">
        <f>SUMMARY!B11</f>
        <v>saifuddin</v>
      </c>
      <c r="C9" s="17">
        <f t="shared" si="1"/>
        <v>1</v>
      </c>
      <c r="D9" s="8">
        <f t="shared" si="2"/>
        <v>1</v>
      </c>
      <c r="F9" s="4"/>
      <c r="G9" s="4" t="s">
        <v>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L9" s="3">
        <f t="shared" si="3"/>
        <v>1</v>
      </c>
      <c r="AM9" s="3">
        <f t="shared" si="0"/>
        <v>0</v>
      </c>
      <c r="AN9" s="3">
        <f t="shared" si="0"/>
        <v>0</v>
      </c>
    </row>
    <row r="10" spans="2:40" x14ac:dyDescent="0.25">
      <c r="B10" s="8" t="str">
        <f>SUMMARY!B12</f>
        <v>pawan kumar</v>
      </c>
      <c r="C10" s="17">
        <f t="shared" si="1"/>
        <v>1</v>
      </c>
      <c r="D10" s="8">
        <f t="shared" si="2"/>
        <v>1</v>
      </c>
      <c r="F10" s="4" t="s">
        <v>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L10" s="3">
        <f t="shared" si="3"/>
        <v>1</v>
      </c>
      <c r="AM10" s="3">
        <f t="shared" si="0"/>
        <v>0</v>
      </c>
      <c r="AN10" s="3">
        <f t="shared" si="0"/>
        <v>0</v>
      </c>
    </row>
    <row r="11" spans="2:40" x14ac:dyDescent="0.25">
      <c r="B11" s="8" t="str">
        <f>SUMMARY!B13</f>
        <v>gouthm</v>
      </c>
      <c r="C11" s="17">
        <f t="shared" si="1"/>
        <v>0</v>
      </c>
      <c r="D11" s="8">
        <f t="shared" si="2"/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L11" s="3">
        <f t="shared" si="3"/>
        <v>0</v>
      </c>
      <c r="AM11" s="3">
        <f t="shared" si="0"/>
        <v>0</v>
      </c>
      <c r="AN11" s="3">
        <f t="shared" si="0"/>
        <v>0</v>
      </c>
    </row>
    <row r="12" spans="2:40" x14ac:dyDescent="0.25">
      <c r="B12" s="8" t="str">
        <f>SUMMARY!B14</f>
        <v>moksha</v>
      </c>
      <c r="C12" s="17">
        <f t="shared" si="1"/>
        <v>0</v>
      </c>
      <c r="D12" s="8">
        <f t="shared" si="2"/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L12" s="3">
        <f t="shared" si="3"/>
        <v>0</v>
      </c>
      <c r="AM12" s="3">
        <f t="shared" si="0"/>
        <v>0</v>
      </c>
      <c r="AN12" s="3">
        <f t="shared" si="0"/>
        <v>0</v>
      </c>
    </row>
    <row r="13" spans="2:40" x14ac:dyDescent="0.25">
      <c r="B13" s="8" t="str">
        <f>SUMMARY!B15</f>
        <v>chandan</v>
      </c>
      <c r="C13" s="17">
        <f t="shared" si="1"/>
        <v>0</v>
      </c>
      <c r="D13" s="8">
        <f t="shared" si="2"/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L13" s="3">
        <f t="shared" si="3"/>
        <v>0</v>
      </c>
      <c r="AM13" s="3">
        <f t="shared" si="0"/>
        <v>0</v>
      </c>
      <c r="AN13" s="3">
        <f t="shared" si="0"/>
        <v>0</v>
      </c>
    </row>
  </sheetData>
  <mergeCells count="1">
    <mergeCell ref="C3:D3"/>
  </mergeCells>
  <conditionalFormatting sqref="F4:AJ13">
    <cfRule type="cellIs" dxfId="26" priority="2" operator="equal">
      <formula>$AN$3</formula>
    </cfRule>
    <cfRule type="cellIs" dxfId="25" priority="3" operator="equal">
      <formula>$AM$3</formula>
    </cfRule>
    <cfRule type="cellIs" dxfId="24" priority="4" operator="equal">
      <formula>$AL$3</formula>
    </cfRule>
  </conditionalFormatting>
  <conditionalFormatting sqref="D4:D13">
    <cfRule type="dataBar" priority="1">
      <dataBar showValue="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{2BBFE9D6-1D37-4242-AD4A-F9D2E6B0D229}</x14:id>
        </ext>
      </extLst>
    </cfRule>
  </conditionalFormatting>
  <dataValidations count="1">
    <dataValidation type="list" allowBlank="1" showInputMessage="1" showErrorMessage="1" sqref="F4:AJ13" xr:uid="{A3FBCFD7-B291-4CDB-AFD8-9123090483FA}">
      <formula1>$AL$3:$AN$3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BFE9D6-1D37-4242-AD4A-F9D2E6B0D22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D4:D13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F4B97-5301-4B22-A807-1357CA367836}">
  <dimension ref="B1:AN13"/>
  <sheetViews>
    <sheetView showGridLines="0" topLeftCell="W1" workbookViewId="0">
      <selection activeCell="AL4" sqref="AL4:AN13"/>
    </sheetView>
  </sheetViews>
  <sheetFormatPr defaultColWidth="4.7109375" defaultRowHeight="15" x14ac:dyDescent="0.25"/>
  <cols>
    <col min="1" max="1" width="4.7109375" style="1"/>
    <col min="2" max="2" width="12.7109375" style="7" customWidth="1"/>
    <col min="3" max="3" width="6.7109375" style="7" customWidth="1"/>
    <col min="4" max="4" width="12.7109375" style="7" customWidth="1"/>
    <col min="5" max="16384" width="4.7109375" style="1"/>
  </cols>
  <sheetData>
    <row r="1" spans="2:40" s="2" customFormat="1" ht="20.100000000000001" customHeight="1" x14ac:dyDescent="0.3">
      <c r="B1" s="5" t="s">
        <v>21</v>
      </c>
      <c r="C1" s="5"/>
      <c r="D1" s="5"/>
    </row>
    <row r="3" spans="2:40" x14ac:dyDescent="0.25">
      <c r="B3" s="9" t="s">
        <v>2</v>
      </c>
      <c r="C3" s="26" t="s">
        <v>3</v>
      </c>
      <c r="D3" s="26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  <c r="Y3" s="15">
        <v>20</v>
      </c>
      <c r="Z3" s="15">
        <v>21</v>
      </c>
      <c r="AA3" s="15">
        <v>22</v>
      </c>
      <c r="AB3" s="15">
        <v>23</v>
      </c>
      <c r="AC3" s="15">
        <v>24</v>
      </c>
      <c r="AD3" s="15">
        <v>25</v>
      </c>
      <c r="AE3" s="15">
        <v>26</v>
      </c>
      <c r="AF3" s="15">
        <v>27</v>
      </c>
      <c r="AG3" s="15">
        <v>28</v>
      </c>
      <c r="AH3" s="15">
        <v>29</v>
      </c>
      <c r="AI3" s="15">
        <v>30</v>
      </c>
      <c r="AJ3" s="15">
        <v>31</v>
      </c>
      <c r="AL3" s="12" t="str">
        <f>SUMMARY!F5</f>
        <v>Y</v>
      </c>
      <c r="AM3" s="13" t="str">
        <f>SUMMARY!G5</f>
        <v>N</v>
      </c>
      <c r="AN3" s="14" t="str">
        <f>SUMMARY!H5</f>
        <v>E</v>
      </c>
    </row>
    <row r="4" spans="2:40" x14ac:dyDescent="0.25">
      <c r="B4" s="8" t="str">
        <f>SUMMARY!B6</f>
        <v>Vinod</v>
      </c>
      <c r="C4" s="17">
        <f>D4</f>
        <v>0</v>
      </c>
      <c r="D4" s="8">
        <f>IF(COUNTA(F4:AJ4)=0,0,1-AM4/COUNTA(F4:AJ4))</f>
        <v>0</v>
      </c>
      <c r="F4" s="16" t="s">
        <v>5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L4" s="3">
        <f>COUNTIF($F4:$AJ4,AL$3)</f>
        <v>0</v>
      </c>
      <c r="AM4" s="3">
        <f t="shared" ref="AM4:AN13" si="0">COUNTIF($F4:$AJ4,AM$3)</f>
        <v>1</v>
      </c>
      <c r="AN4" s="3">
        <f t="shared" si="0"/>
        <v>0</v>
      </c>
    </row>
    <row r="5" spans="2:40" x14ac:dyDescent="0.25">
      <c r="B5" s="8" t="str">
        <f>SUMMARY!B7</f>
        <v>Rakesh</v>
      </c>
      <c r="C5" s="17">
        <f t="shared" ref="C5:C13" si="1">D5</f>
        <v>1</v>
      </c>
      <c r="D5" s="8">
        <f t="shared" ref="D5:D13" si="2">IF(COUNTA(F5:AJ5)=0,0,1-AM5/COUNTA(F5:AJ5))</f>
        <v>1</v>
      </c>
      <c r="F5" s="4" t="s">
        <v>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L5" s="3">
        <f t="shared" ref="AL5:AL13" si="3">COUNTIF($F5:$AJ5,AL$3)</f>
        <v>0</v>
      </c>
      <c r="AM5" s="3">
        <f t="shared" si="0"/>
        <v>0</v>
      </c>
      <c r="AN5" s="3">
        <f t="shared" si="0"/>
        <v>1</v>
      </c>
    </row>
    <row r="6" spans="2:40" x14ac:dyDescent="0.25">
      <c r="B6" s="8" t="str">
        <f>SUMMARY!B8</f>
        <v>charan</v>
      </c>
      <c r="C6" s="17">
        <f t="shared" si="1"/>
        <v>0</v>
      </c>
      <c r="D6" s="8">
        <f t="shared" si="2"/>
        <v>0</v>
      </c>
      <c r="F6" s="4"/>
      <c r="G6" s="4" t="s">
        <v>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L6" s="3">
        <f t="shared" si="3"/>
        <v>0</v>
      </c>
      <c r="AM6" s="3">
        <f t="shared" si="0"/>
        <v>1</v>
      </c>
      <c r="AN6" s="3">
        <f t="shared" si="0"/>
        <v>0</v>
      </c>
    </row>
    <row r="7" spans="2:40" x14ac:dyDescent="0.25">
      <c r="B7" s="8" t="str">
        <f>SUMMARY!B9</f>
        <v>ranganna</v>
      </c>
      <c r="C7" s="17">
        <f t="shared" si="1"/>
        <v>0</v>
      </c>
      <c r="D7" s="8">
        <f t="shared" si="2"/>
        <v>0</v>
      </c>
      <c r="F7" s="4"/>
      <c r="G7" s="4" t="s">
        <v>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L7" s="3">
        <f t="shared" si="3"/>
        <v>0</v>
      </c>
      <c r="AM7" s="3">
        <f t="shared" si="0"/>
        <v>1</v>
      </c>
      <c r="AN7" s="3">
        <f t="shared" si="0"/>
        <v>0</v>
      </c>
    </row>
    <row r="8" spans="2:40" x14ac:dyDescent="0.25">
      <c r="B8" s="8" t="str">
        <f>SUMMARY!B10</f>
        <v>vinod kumar</v>
      </c>
      <c r="C8" s="17">
        <f t="shared" si="1"/>
        <v>0</v>
      </c>
      <c r="D8" s="8">
        <f t="shared" si="2"/>
        <v>0</v>
      </c>
      <c r="F8" s="4" t="s">
        <v>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L8" s="3">
        <f t="shared" si="3"/>
        <v>0</v>
      </c>
      <c r="AM8" s="3">
        <f t="shared" si="0"/>
        <v>1</v>
      </c>
      <c r="AN8" s="3">
        <f t="shared" si="0"/>
        <v>0</v>
      </c>
    </row>
    <row r="9" spans="2:40" x14ac:dyDescent="0.25">
      <c r="B9" s="8" t="str">
        <f>SUMMARY!B11</f>
        <v>saifuddin</v>
      </c>
      <c r="C9" s="17">
        <f t="shared" si="1"/>
        <v>1</v>
      </c>
      <c r="D9" s="8">
        <f t="shared" si="2"/>
        <v>1</v>
      </c>
      <c r="F9" s="4"/>
      <c r="G9" s="4" t="s">
        <v>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L9" s="3">
        <f t="shared" si="3"/>
        <v>1</v>
      </c>
      <c r="AM9" s="3">
        <f t="shared" si="0"/>
        <v>0</v>
      </c>
      <c r="AN9" s="3">
        <f t="shared" si="0"/>
        <v>0</v>
      </c>
    </row>
    <row r="10" spans="2:40" x14ac:dyDescent="0.25">
      <c r="B10" s="8" t="str">
        <f>SUMMARY!B12</f>
        <v>pawan kumar</v>
      </c>
      <c r="C10" s="17">
        <f t="shared" si="1"/>
        <v>1</v>
      </c>
      <c r="D10" s="8">
        <f t="shared" si="2"/>
        <v>1</v>
      </c>
      <c r="F10" s="4" t="s">
        <v>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L10" s="3">
        <f t="shared" si="3"/>
        <v>1</v>
      </c>
      <c r="AM10" s="3">
        <f t="shared" si="0"/>
        <v>0</v>
      </c>
      <c r="AN10" s="3">
        <f t="shared" si="0"/>
        <v>0</v>
      </c>
    </row>
    <row r="11" spans="2:40" x14ac:dyDescent="0.25">
      <c r="B11" s="8" t="str">
        <f>SUMMARY!B13</f>
        <v>gouthm</v>
      </c>
      <c r="C11" s="17">
        <f t="shared" si="1"/>
        <v>0</v>
      </c>
      <c r="D11" s="8">
        <f t="shared" si="2"/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L11" s="3">
        <f t="shared" si="3"/>
        <v>0</v>
      </c>
      <c r="AM11" s="3">
        <f t="shared" si="0"/>
        <v>0</v>
      </c>
      <c r="AN11" s="3">
        <f t="shared" si="0"/>
        <v>0</v>
      </c>
    </row>
    <row r="12" spans="2:40" x14ac:dyDescent="0.25">
      <c r="B12" s="8" t="str">
        <f>SUMMARY!B14</f>
        <v>moksha</v>
      </c>
      <c r="C12" s="17">
        <f t="shared" si="1"/>
        <v>0</v>
      </c>
      <c r="D12" s="8">
        <f t="shared" si="2"/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L12" s="3">
        <f t="shared" si="3"/>
        <v>0</v>
      </c>
      <c r="AM12" s="3">
        <f t="shared" si="0"/>
        <v>0</v>
      </c>
      <c r="AN12" s="3">
        <f t="shared" si="0"/>
        <v>0</v>
      </c>
    </row>
    <row r="13" spans="2:40" x14ac:dyDescent="0.25">
      <c r="B13" s="8" t="str">
        <f>SUMMARY!B15</f>
        <v>chandan</v>
      </c>
      <c r="C13" s="17">
        <f t="shared" si="1"/>
        <v>0</v>
      </c>
      <c r="D13" s="8">
        <f t="shared" si="2"/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L13" s="3">
        <f t="shared" si="3"/>
        <v>0</v>
      </c>
      <c r="AM13" s="3">
        <f t="shared" si="0"/>
        <v>0</v>
      </c>
      <c r="AN13" s="3">
        <f t="shared" si="0"/>
        <v>0</v>
      </c>
    </row>
  </sheetData>
  <mergeCells count="1">
    <mergeCell ref="C3:D3"/>
  </mergeCells>
  <conditionalFormatting sqref="F4:AJ13">
    <cfRule type="cellIs" dxfId="23" priority="2" operator="equal">
      <formula>$AN$3</formula>
    </cfRule>
    <cfRule type="cellIs" dxfId="22" priority="3" operator="equal">
      <formula>$AM$3</formula>
    </cfRule>
    <cfRule type="cellIs" dxfId="21" priority="4" operator="equal">
      <formula>$AL$3</formula>
    </cfRule>
  </conditionalFormatting>
  <conditionalFormatting sqref="D4:D13">
    <cfRule type="dataBar" priority="1">
      <dataBar showValue="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{9550FFDD-B56F-407E-A8CF-62D4C9CC6B7C}</x14:id>
        </ext>
      </extLst>
    </cfRule>
  </conditionalFormatting>
  <dataValidations count="1">
    <dataValidation type="list" allowBlank="1" showInputMessage="1" showErrorMessage="1" sqref="F4:AJ13" xr:uid="{715BE574-C7FD-45D4-96CF-3270B94C5544}">
      <formula1>$AL$3:$AN$3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50FFDD-B56F-407E-A8CF-62D4C9CC6B7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D4:D13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98B35-86F0-4DF9-ACA8-CC4805458C7D}">
  <dimension ref="B1:AN13"/>
  <sheetViews>
    <sheetView showGridLines="0" topLeftCell="K1" workbookViewId="0">
      <selection activeCell="Y25" sqref="Y25"/>
    </sheetView>
  </sheetViews>
  <sheetFormatPr defaultColWidth="4.7109375" defaultRowHeight="15" x14ac:dyDescent="0.25"/>
  <cols>
    <col min="1" max="1" width="4.7109375" style="1"/>
    <col min="2" max="2" width="12.7109375" style="7" customWidth="1"/>
    <col min="3" max="3" width="6.7109375" style="7" customWidth="1"/>
    <col min="4" max="4" width="12.7109375" style="7" customWidth="1"/>
    <col min="5" max="37" width="4.7109375" style="1"/>
    <col min="38" max="38" width="8.42578125" style="1" bestFit="1" customWidth="1"/>
    <col min="39" max="16384" width="4.7109375" style="1"/>
  </cols>
  <sheetData>
    <row r="1" spans="2:40" s="2" customFormat="1" ht="20.100000000000001" customHeight="1" x14ac:dyDescent="0.3">
      <c r="B1" s="5" t="s">
        <v>22</v>
      </c>
      <c r="C1" s="5"/>
      <c r="D1" s="5"/>
    </row>
    <row r="3" spans="2:40" x14ac:dyDescent="0.25">
      <c r="B3" s="9" t="s">
        <v>2</v>
      </c>
      <c r="C3" s="26" t="s">
        <v>3</v>
      </c>
      <c r="D3" s="26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  <c r="Y3" s="15">
        <v>20</v>
      </c>
      <c r="Z3" s="15">
        <v>21</v>
      </c>
      <c r="AA3" s="15">
        <v>22</v>
      </c>
      <c r="AB3" s="15">
        <v>23</v>
      </c>
      <c r="AC3" s="15">
        <v>24</v>
      </c>
      <c r="AD3" s="15">
        <v>25</v>
      </c>
      <c r="AE3" s="15">
        <v>26</v>
      </c>
      <c r="AF3" s="15">
        <v>27</v>
      </c>
      <c r="AG3" s="15">
        <v>28</v>
      </c>
      <c r="AH3" s="15">
        <v>29</v>
      </c>
      <c r="AI3" s="15">
        <v>30</v>
      </c>
      <c r="AJ3" s="15">
        <v>31</v>
      </c>
      <c r="AL3" s="12" t="str">
        <f>SUMMARY!F5</f>
        <v>Y</v>
      </c>
      <c r="AM3" s="13" t="str">
        <f>SUMMARY!G5</f>
        <v>N</v>
      </c>
      <c r="AN3" s="14" t="str">
        <f>SUMMARY!H5</f>
        <v>E</v>
      </c>
    </row>
    <row r="4" spans="2:40" x14ac:dyDescent="0.25">
      <c r="B4" s="8" t="str">
        <f>SUMMARY!B6</f>
        <v>Vinod</v>
      </c>
      <c r="C4" s="8">
        <f>D4</f>
        <v>0</v>
      </c>
      <c r="D4" s="8">
        <f>IF(COUNTA(F4:AJ4)=0,0,1-AM4/COUNTA(F4:AJ4))</f>
        <v>0</v>
      </c>
      <c r="F4" s="16" t="s">
        <v>5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L4" s="3">
        <f>COUNTIF($F4:$AJ4,AL$3)</f>
        <v>0</v>
      </c>
      <c r="AM4" s="3">
        <f t="shared" ref="AM4:AN13" si="0">COUNTIF($F4:$AJ4,AM$3)</f>
        <v>1</v>
      </c>
      <c r="AN4" s="3">
        <f t="shared" si="0"/>
        <v>0</v>
      </c>
    </row>
    <row r="5" spans="2:40" x14ac:dyDescent="0.25">
      <c r="B5" s="8" t="str">
        <f>SUMMARY!B7</f>
        <v>Rakesh</v>
      </c>
      <c r="C5" s="8">
        <f t="shared" ref="C5:C13" si="1">D5</f>
        <v>1</v>
      </c>
      <c r="D5" s="8">
        <f t="shared" ref="D5:D13" si="2">IF(COUNTA(F5:AJ5)=0,0,1-AM5/COUNTA(F5:AJ5))</f>
        <v>1</v>
      </c>
      <c r="F5" s="4" t="s">
        <v>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L5" s="3">
        <f t="shared" ref="AL5:AL13" si="3">COUNTIF($F5:$AJ5,AL$3)</f>
        <v>0</v>
      </c>
      <c r="AM5" s="3">
        <f t="shared" si="0"/>
        <v>0</v>
      </c>
      <c r="AN5" s="3">
        <f t="shared" si="0"/>
        <v>1</v>
      </c>
    </row>
    <row r="6" spans="2:40" x14ac:dyDescent="0.25">
      <c r="B6" s="8" t="str">
        <f>SUMMARY!B8</f>
        <v>charan</v>
      </c>
      <c r="C6" s="8">
        <f t="shared" si="1"/>
        <v>0</v>
      </c>
      <c r="D6" s="8">
        <f t="shared" si="2"/>
        <v>0</v>
      </c>
      <c r="F6" s="4"/>
      <c r="G6" s="4" t="s">
        <v>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L6" s="3">
        <f t="shared" si="3"/>
        <v>0</v>
      </c>
      <c r="AM6" s="3">
        <f t="shared" si="0"/>
        <v>1</v>
      </c>
      <c r="AN6" s="3">
        <f t="shared" si="0"/>
        <v>0</v>
      </c>
    </row>
    <row r="7" spans="2:40" x14ac:dyDescent="0.25">
      <c r="B7" s="8" t="str">
        <f>SUMMARY!B9</f>
        <v>ranganna</v>
      </c>
      <c r="C7" s="8">
        <f t="shared" si="1"/>
        <v>0</v>
      </c>
      <c r="D7" s="8">
        <f t="shared" si="2"/>
        <v>0</v>
      </c>
      <c r="F7" s="4"/>
      <c r="G7" s="4" t="s">
        <v>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L7" s="3">
        <f t="shared" si="3"/>
        <v>0</v>
      </c>
      <c r="AM7" s="3">
        <f t="shared" si="0"/>
        <v>1</v>
      </c>
      <c r="AN7" s="3">
        <f t="shared" si="0"/>
        <v>0</v>
      </c>
    </row>
    <row r="8" spans="2:40" x14ac:dyDescent="0.25">
      <c r="B8" s="8" t="str">
        <f>SUMMARY!B10</f>
        <v>vinod kumar</v>
      </c>
      <c r="C8" s="8">
        <f t="shared" si="1"/>
        <v>0</v>
      </c>
      <c r="D8" s="8">
        <f t="shared" si="2"/>
        <v>0</v>
      </c>
      <c r="F8" s="4" t="s">
        <v>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L8" s="3">
        <f t="shared" si="3"/>
        <v>0</v>
      </c>
      <c r="AM8" s="3">
        <f t="shared" si="0"/>
        <v>1</v>
      </c>
      <c r="AN8" s="3">
        <f t="shared" si="0"/>
        <v>0</v>
      </c>
    </row>
    <row r="9" spans="2:40" x14ac:dyDescent="0.25">
      <c r="B9" s="8" t="str">
        <f>SUMMARY!B11</f>
        <v>saifuddin</v>
      </c>
      <c r="C9" s="8">
        <f t="shared" si="1"/>
        <v>1</v>
      </c>
      <c r="D9" s="8">
        <f t="shared" si="2"/>
        <v>1</v>
      </c>
      <c r="F9" s="4"/>
      <c r="G9" s="4" t="s">
        <v>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L9" s="3">
        <f t="shared" si="3"/>
        <v>1</v>
      </c>
      <c r="AM9" s="3">
        <f t="shared" si="0"/>
        <v>0</v>
      </c>
      <c r="AN9" s="3">
        <f t="shared" si="0"/>
        <v>0</v>
      </c>
    </row>
    <row r="10" spans="2:40" x14ac:dyDescent="0.25">
      <c r="B10" s="8" t="str">
        <f>SUMMARY!B12</f>
        <v>pawan kumar</v>
      </c>
      <c r="C10" s="8">
        <f t="shared" si="1"/>
        <v>1</v>
      </c>
      <c r="D10" s="8">
        <f t="shared" si="2"/>
        <v>1</v>
      </c>
      <c r="F10" s="4" t="s">
        <v>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L10" s="3">
        <f t="shared" si="3"/>
        <v>1</v>
      </c>
      <c r="AM10" s="3">
        <f t="shared" si="0"/>
        <v>0</v>
      </c>
      <c r="AN10" s="3">
        <f t="shared" si="0"/>
        <v>0</v>
      </c>
    </row>
    <row r="11" spans="2:40" x14ac:dyDescent="0.25">
      <c r="B11" s="8" t="str">
        <f>SUMMARY!B13</f>
        <v>gouthm</v>
      </c>
      <c r="C11" s="8">
        <f t="shared" si="1"/>
        <v>0</v>
      </c>
      <c r="D11" s="8">
        <f t="shared" si="2"/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L11" s="3">
        <f t="shared" si="3"/>
        <v>0</v>
      </c>
      <c r="AM11" s="3">
        <f t="shared" si="0"/>
        <v>0</v>
      </c>
      <c r="AN11" s="3">
        <f t="shared" si="0"/>
        <v>0</v>
      </c>
    </row>
    <row r="12" spans="2:40" x14ac:dyDescent="0.25">
      <c r="B12" s="8" t="str">
        <f>SUMMARY!B14</f>
        <v>moksha</v>
      </c>
      <c r="C12" s="8">
        <f t="shared" si="1"/>
        <v>0</v>
      </c>
      <c r="D12" s="8">
        <f t="shared" si="2"/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L12" s="3">
        <f t="shared" si="3"/>
        <v>0</v>
      </c>
      <c r="AM12" s="3">
        <f t="shared" si="0"/>
        <v>0</v>
      </c>
      <c r="AN12" s="3">
        <f t="shared" si="0"/>
        <v>0</v>
      </c>
    </row>
    <row r="13" spans="2:40" x14ac:dyDescent="0.25">
      <c r="B13" s="8" t="str">
        <f>SUMMARY!B15</f>
        <v>chandan</v>
      </c>
      <c r="C13" s="8">
        <f t="shared" si="1"/>
        <v>0</v>
      </c>
      <c r="D13" s="8">
        <f t="shared" si="2"/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L13" s="3">
        <f t="shared" si="3"/>
        <v>0</v>
      </c>
      <c r="AM13" s="3">
        <f t="shared" si="0"/>
        <v>0</v>
      </c>
      <c r="AN13" s="3">
        <f t="shared" si="0"/>
        <v>0</v>
      </c>
    </row>
  </sheetData>
  <mergeCells count="1">
    <mergeCell ref="C3:D3"/>
  </mergeCells>
  <conditionalFormatting sqref="F4:AJ13">
    <cfRule type="cellIs" dxfId="20" priority="2" operator="equal">
      <formula>$AN$3</formula>
    </cfRule>
    <cfRule type="cellIs" dxfId="19" priority="3" operator="equal">
      <formula>$AM$3</formula>
    </cfRule>
    <cfRule type="cellIs" dxfId="18" priority="4" operator="equal">
      <formula>$AL$3</formula>
    </cfRule>
  </conditionalFormatting>
  <conditionalFormatting sqref="D4:D13">
    <cfRule type="dataBar" priority="1">
      <dataBar showValue="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{1C692788-2DC8-4486-B29B-79020292467F}</x14:id>
        </ext>
      </extLst>
    </cfRule>
  </conditionalFormatting>
  <dataValidations count="1">
    <dataValidation type="list" allowBlank="1" showInputMessage="1" showErrorMessage="1" sqref="F4:AJ13" xr:uid="{9183C8CC-4C1F-4305-8D94-B601A32AC774}">
      <formula1>$AL$3:$AN$3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692788-2DC8-4486-B29B-79020292467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D4:D13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7CA4-0788-4747-939E-7B9AB6FC58F5}">
  <dimension ref="B1:AN13"/>
  <sheetViews>
    <sheetView showGridLines="0" topLeftCell="P1" workbookViewId="0">
      <selection activeCell="AL4" sqref="AL4:AN13"/>
    </sheetView>
  </sheetViews>
  <sheetFormatPr defaultColWidth="4.7109375" defaultRowHeight="15" x14ac:dyDescent="0.25"/>
  <cols>
    <col min="1" max="1" width="4.7109375" style="1"/>
    <col min="2" max="2" width="12.7109375" style="7" customWidth="1"/>
    <col min="3" max="3" width="6.7109375" style="7" customWidth="1"/>
    <col min="4" max="4" width="12.7109375" style="7" customWidth="1"/>
    <col min="5" max="16384" width="4.7109375" style="1"/>
  </cols>
  <sheetData>
    <row r="1" spans="2:40" s="2" customFormat="1" ht="20.100000000000001" customHeight="1" x14ac:dyDescent="0.3">
      <c r="B1" s="5" t="s">
        <v>23</v>
      </c>
      <c r="C1" s="5"/>
      <c r="D1" s="5"/>
    </row>
    <row r="3" spans="2:40" x14ac:dyDescent="0.25">
      <c r="B3" s="9" t="s">
        <v>2</v>
      </c>
      <c r="C3" s="26" t="s">
        <v>3</v>
      </c>
      <c r="D3" s="26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  <c r="Y3" s="15">
        <v>20</v>
      </c>
      <c r="Z3" s="15">
        <v>21</v>
      </c>
      <c r="AA3" s="15">
        <v>22</v>
      </c>
      <c r="AB3" s="15">
        <v>23</v>
      </c>
      <c r="AC3" s="15">
        <v>24</v>
      </c>
      <c r="AD3" s="15">
        <v>25</v>
      </c>
      <c r="AE3" s="15">
        <v>26</v>
      </c>
      <c r="AF3" s="15">
        <v>27</v>
      </c>
      <c r="AG3" s="15">
        <v>28</v>
      </c>
      <c r="AH3" s="15">
        <v>29</v>
      </c>
      <c r="AI3" s="15">
        <v>30</v>
      </c>
      <c r="AJ3" s="15">
        <v>31</v>
      </c>
      <c r="AL3" s="12" t="str">
        <f>SUMMARY!F5</f>
        <v>Y</v>
      </c>
      <c r="AM3" s="13" t="str">
        <f>SUMMARY!G5</f>
        <v>N</v>
      </c>
      <c r="AN3" s="14" t="str">
        <f>SUMMARY!H5</f>
        <v>E</v>
      </c>
    </row>
    <row r="4" spans="2:40" x14ac:dyDescent="0.25">
      <c r="B4" s="8" t="str">
        <f>SUMMARY!B6</f>
        <v>Vinod</v>
      </c>
      <c r="C4" s="17">
        <f>D4</f>
        <v>0</v>
      </c>
      <c r="D4" s="8">
        <f>IF(COUNTA(F4:AJ4)=0,0,1-AM4/COUNTA(F4:AJ4))</f>
        <v>0</v>
      </c>
      <c r="F4" s="16" t="s">
        <v>5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L4" s="3">
        <f>COUNTIF($F4:$AJ4,AL$3)</f>
        <v>0</v>
      </c>
      <c r="AM4" s="3">
        <f t="shared" ref="AM4:AN13" si="0">COUNTIF($F4:$AJ4,AM$3)</f>
        <v>1</v>
      </c>
      <c r="AN4" s="3">
        <f t="shared" si="0"/>
        <v>0</v>
      </c>
    </row>
    <row r="5" spans="2:40" x14ac:dyDescent="0.25">
      <c r="B5" s="8" t="str">
        <f>SUMMARY!B7</f>
        <v>Rakesh</v>
      </c>
      <c r="C5" s="17">
        <f t="shared" ref="C5:C13" si="1">D5</f>
        <v>0.66666666666666674</v>
      </c>
      <c r="D5" s="8">
        <f t="shared" ref="D5:D13" si="2">IF(COUNTA(F5:AJ5)=0,0,1-AM5/COUNTA(F5:AJ5))</f>
        <v>0.66666666666666674</v>
      </c>
      <c r="F5" s="4" t="s">
        <v>6</v>
      </c>
      <c r="G5" s="4"/>
      <c r="H5" s="4"/>
      <c r="I5" s="4" t="s">
        <v>5</v>
      </c>
      <c r="J5" s="4"/>
      <c r="K5" s="4" t="s">
        <v>4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L5" s="3">
        <f t="shared" ref="AL5:AL13" si="3">COUNTIF($F5:$AJ5,AL$3)</f>
        <v>1</v>
      </c>
      <c r="AM5" s="3">
        <f t="shared" si="0"/>
        <v>1</v>
      </c>
      <c r="AN5" s="3">
        <f t="shared" si="0"/>
        <v>1</v>
      </c>
    </row>
    <row r="6" spans="2:40" x14ac:dyDescent="0.25">
      <c r="B6" s="8" t="str">
        <f>SUMMARY!B8</f>
        <v>charan</v>
      </c>
      <c r="C6" s="17">
        <f t="shared" si="1"/>
        <v>0</v>
      </c>
      <c r="D6" s="8">
        <f t="shared" si="2"/>
        <v>0</v>
      </c>
      <c r="F6" s="4"/>
      <c r="G6" s="4" t="s">
        <v>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L6" s="3">
        <f t="shared" si="3"/>
        <v>0</v>
      </c>
      <c r="AM6" s="3">
        <f t="shared" si="0"/>
        <v>1</v>
      </c>
      <c r="AN6" s="3">
        <f t="shared" si="0"/>
        <v>0</v>
      </c>
    </row>
    <row r="7" spans="2:40" x14ac:dyDescent="0.25">
      <c r="B7" s="8" t="str">
        <f>SUMMARY!B9</f>
        <v>ranganna</v>
      </c>
      <c r="C7" s="17">
        <f t="shared" si="1"/>
        <v>0</v>
      </c>
      <c r="D7" s="8">
        <f t="shared" si="2"/>
        <v>0</v>
      </c>
      <c r="F7" s="4"/>
      <c r="G7" s="4" t="s">
        <v>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L7" s="3">
        <f t="shared" si="3"/>
        <v>0</v>
      </c>
      <c r="AM7" s="3">
        <f t="shared" si="0"/>
        <v>1</v>
      </c>
      <c r="AN7" s="3">
        <f t="shared" si="0"/>
        <v>0</v>
      </c>
    </row>
    <row r="8" spans="2:40" x14ac:dyDescent="0.25">
      <c r="B8" s="8" t="str">
        <f>SUMMARY!B10</f>
        <v>vinod kumar</v>
      </c>
      <c r="C8" s="17">
        <f t="shared" si="1"/>
        <v>0</v>
      </c>
      <c r="D8" s="8">
        <f t="shared" si="2"/>
        <v>0</v>
      </c>
      <c r="F8" s="4" t="s">
        <v>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L8" s="3">
        <f t="shared" si="3"/>
        <v>0</v>
      </c>
      <c r="AM8" s="3">
        <f t="shared" si="0"/>
        <v>1</v>
      </c>
      <c r="AN8" s="3">
        <f t="shared" si="0"/>
        <v>0</v>
      </c>
    </row>
    <row r="9" spans="2:40" x14ac:dyDescent="0.25">
      <c r="B9" s="8" t="str">
        <f>SUMMARY!B11</f>
        <v>saifuddin</v>
      </c>
      <c r="C9" s="17">
        <f t="shared" si="1"/>
        <v>1</v>
      </c>
      <c r="D9" s="8">
        <f t="shared" si="2"/>
        <v>1</v>
      </c>
      <c r="F9" s="4"/>
      <c r="G9" s="4" t="s">
        <v>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L9" s="3">
        <f t="shared" si="3"/>
        <v>1</v>
      </c>
      <c r="AM9" s="3">
        <f t="shared" si="0"/>
        <v>0</v>
      </c>
      <c r="AN9" s="3">
        <f t="shared" si="0"/>
        <v>0</v>
      </c>
    </row>
    <row r="10" spans="2:40" x14ac:dyDescent="0.25">
      <c r="B10" s="8" t="str">
        <f>SUMMARY!B12</f>
        <v>pawan kumar</v>
      </c>
      <c r="C10" s="17">
        <f t="shared" si="1"/>
        <v>1</v>
      </c>
      <c r="D10" s="8">
        <f t="shared" si="2"/>
        <v>1</v>
      </c>
      <c r="F10" s="4" t="s">
        <v>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L10" s="3">
        <f t="shared" si="3"/>
        <v>1</v>
      </c>
      <c r="AM10" s="3">
        <f t="shared" si="0"/>
        <v>0</v>
      </c>
      <c r="AN10" s="3">
        <f t="shared" si="0"/>
        <v>0</v>
      </c>
    </row>
    <row r="11" spans="2:40" x14ac:dyDescent="0.25">
      <c r="B11" s="8" t="str">
        <f>SUMMARY!B13</f>
        <v>gouthm</v>
      </c>
      <c r="C11" s="17">
        <f t="shared" si="1"/>
        <v>0</v>
      </c>
      <c r="D11" s="8">
        <f t="shared" si="2"/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L11" s="3">
        <f t="shared" si="3"/>
        <v>0</v>
      </c>
      <c r="AM11" s="3">
        <f t="shared" si="0"/>
        <v>0</v>
      </c>
      <c r="AN11" s="3">
        <f t="shared" si="0"/>
        <v>0</v>
      </c>
    </row>
    <row r="12" spans="2:40" x14ac:dyDescent="0.25">
      <c r="B12" s="8" t="str">
        <f>SUMMARY!B14</f>
        <v>moksha</v>
      </c>
      <c r="C12" s="17">
        <f t="shared" si="1"/>
        <v>0</v>
      </c>
      <c r="D12" s="8">
        <f t="shared" si="2"/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L12" s="3">
        <f t="shared" si="3"/>
        <v>0</v>
      </c>
      <c r="AM12" s="3">
        <f t="shared" si="0"/>
        <v>0</v>
      </c>
      <c r="AN12" s="3">
        <f t="shared" si="0"/>
        <v>0</v>
      </c>
    </row>
    <row r="13" spans="2:40" x14ac:dyDescent="0.25">
      <c r="B13" s="8" t="str">
        <f>SUMMARY!B15</f>
        <v>chandan</v>
      </c>
      <c r="C13" s="17">
        <f t="shared" si="1"/>
        <v>0</v>
      </c>
      <c r="D13" s="8">
        <f t="shared" si="2"/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L13" s="3">
        <f t="shared" si="3"/>
        <v>0</v>
      </c>
      <c r="AM13" s="3">
        <f t="shared" si="0"/>
        <v>0</v>
      </c>
      <c r="AN13" s="3">
        <f t="shared" si="0"/>
        <v>0</v>
      </c>
    </row>
  </sheetData>
  <mergeCells count="1">
    <mergeCell ref="C3:D3"/>
  </mergeCells>
  <conditionalFormatting sqref="F4:AJ13">
    <cfRule type="cellIs" dxfId="17" priority="2" operator="equal">
      <formula>$AN$3</formula>
    </cfRule>
    <cfRule type="cellIs" dxfId="16" priority="3" operator="equal">
      <formula>$AM$3</formula>
    </cfRule>
    <cfRule type="cellIs" dxfId="15" priority="4" operator="equal">
      <formula>$AL$3</formula>
    </cfRule>
  </conditionalFormatting>
  <conditionalFormatting sqref="D4:D13">
    <cfRule type="dataBar" priority="1">
      <dataBar showValue="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{DCF3B99D-93CE-4270-BF9D-1EE398D32098}</x14:id>
        </ext>
      </extLst>
    </cfRule>
  </conditionalFormatting>
  <dataValidations count="1">
    <dataValidation type="list" allowBlank="1" showInputMessage="1" showErrorMessage="1" sqref="F4:AJ13" xr:uid="{86F47B27-CC16-4728-BA83-78734F5D7AEE}">
      <formula1>$AL$3:$AN$3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F3B99D-93CE-4270-BF9D-1EE398D3209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D4:D13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CBEC8-2A51-42AE-BA10-A537AA06E8CD}">
  <dimension ref="B1:AN13"/>
  <sheetViews>
    <sheetView showGridLines="0" topLeftCell="A2" workbookViewId="0">
      <selection activeCell="AL4" sqref="AL4:AN13"/>
    </sheetView>
  </sheetViews>
  <sheetFormatPr defaultColWidth="4.7109375" defaultRowHeight="15" x14ac:dyDescent="0.25"/>
  <cols>
    <col min="1" max="1" width="4.7109375" style="1"/>
    <col min="2" max="2" width="12.7109375" style="7" customWidth="1"/>
    <col min="3" max="3" width="6.7109375" style="7" customWidth="1"/>
    <col min="4" max="4" width="12.7109375" style="7" customWidth="1"/>
    <col min="5" max="16384" width="4.7109375" style="1"/>
  </cols>
  <sheetData>
    <row r="1" spans="2:40" s="2" customFormat="1" ht="20.100000000000001" customHeight="1" x14ac:dyDescent="0.3">
      <c r="B1" s="5" t="s">
        <v>24</v>
      </c>
      <c r="C1" s="5"/>
      <c r="D1" s="5"/>
    </row>
    <row r="3" spans="2:40" x14ac:dyDescent="0.25">
      <c r="B3" s="9" t="s">
        <v>2</v>
      </c>
      <c r="C3" s="26" t="s">
        <v>3</v>
      </c>
      <c r="D3" s="26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  <c r="Y3" s="15">
        <v>20</v>
      </c>
      <c r="Z3" s="15">
        <v>21</v>
      </c>
      <c r="AA3" s="15">
        <v>22</v>
      </c>
      <c r="AB3" s="15">
        <v>23</v>
      </c>
      <c r="AC3" s="15">
        <v>24</v>
      </c>
      <c r="AD3" s="15">
        <v>25</v>
      </c>
      <c r="AE3" s="15">
        <v>26</v>
      </c>
      <c r="AF3" s="15">
        <v>27</v>
      </c>
      <c r="AG3" s="15">
        <v>28</v>
      </c>
      <c r="AH3" s="15">
        <v>29</v>
      </c>
      <c r="AI3" s="15">
        <v>30</v>
      </c>
      <c r="AJ3" s="15">
        <v>31</v>
      </c>
      <c r="AL3" s="12" t="str">
        <f>SUMMARY!F5</f>
        <v>Y</v>
      </c>
      <c r="AM3" s="13" t="str">
        <f>SUMMARY!G5</f>
        <v>N</v>
      </c>
      <c r="AN3" s="14" t="str">
        <f>SUMMARY!H5</f>
        <v>E</v>
      </c>
    </row>
    <row r="4" spans="2:40" x14ac:dyDescent="0.25">
      <c r="B4" s="8" t="str">
        <f>SUMMARY!B6</f>
        <v>Vinod</v>
      </c>
      <c r="C4" s="17">
        <f>D4</f>
        <v>0</v>
      </c>
      <c r="D4" s="8">
        <f>IF(COUNTA(F4:AJ4)=0,0,1-AM4/COUNTA(F4:AJ4))</f>
        <v>0</v>
      </c>
      <c r="F4" s="16" t="s">
        <v>5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L4" s="3">
        <f>COUNTIF($F4:$AJ4,AL$3)</f>
        <v>0</v>
      </c>
      <c r="AM4" s="3">
        <f t="shared" ref="AM4:AN13" si="0">COUNTIF($F4:$AJ4,AM$3)</f>
        <v>1</v>
      </c>
      <c r="AN4" s="3">
        <f t="shared" si="0"/>
        <v>0</v>
      </c>
    </row>
    <row r="5" spans="2:40" x14ac:dyDescent="0.25">
      <c r="B5" s="8" t="str">
        <f>SUMMARY!B7</f>
        <v>Rakesh</v>
      </c>
      <c r="C5" s="17">
        <f t="shared" ref="C5:C13" si="1">D5</f>
        <v>1</v>
      </c>
      <c r="D5" s="8">
        <f t="shared" ref="D5:D13" si="2">IF(COUNTA(F5:AJ5)=0,0,1-AM5/COUNTA(F5:AJ5))</f>
        <v>1</v>
      </c>
      <c r="F5" s="4" t="s">
        <v>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L5" s="3">
        <f t="shared" ref="AL5:AL13" si="3">COUNTIF($F5:$AJ5,AL$3)</f>
        <v>0</v>
      </c>
      <c r="AM5" s="3">
        <f t="shared" si="0"/>
        <v>0</v>
      </c>
      <c r="AN5" s="3">
        <f t="shared" si="0"/>
        <v>1</v>
      </c>
    </row>
    <row r="6" spans="2:40" x14ac:dyDescent="0.25">
      <c r="B6" s="8" t="str">
        <f>SUMMARY!B8</f>
        <v>charan</v>
      </c>
      <c r="C6" s="17">
        <f t="shared" si="1"/>
        <v>0</v>
      </c>
      <c r="D6" s="8">
        <f t="shared" si="2"/>
        <v>0</v>
      </c>
      <c r="F6" s="4"/>
      <c r="G6" s="4" t="s">
        <v>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L6" s="3">
        <f t="shared" si="3"/>
        <v>0</v>
      </c>
      <c r="AM6" s="3">
        <f t="shared" si="0"/>
        <v>1</v>
      </c>
      <c r="AN6" s="3">
        <f t="shared" si="0"/>
        <v>0</v>
      </c>
    </row>
    <row r="7" spans="2:40" x14ac:dyDescent="0.25">
      <c r="B7" s="8" t="str">
        <f>SUMMARY!B9</f>
        <v>ranganna</v>
      </c>
      <c r="C7" s="17">
        <f t="shared" si="1"/>
        <v>0</v>
      </c>
      <c r="D7" s="8">
        <f t="shared" si="2"/>
        <v>0</v>
      </c>
      <c r="F7" s="4"/>
      <c r="G7" s="4" t="s">
        <v>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L7" s="3">
        <f t="shared" si="3"/>
        <v>0</v>
      </c>
      <c r="AM7" s="3">
        <f t="shared" si="0"/>
        <v>1</v>
      </c>
      <c r="AN7" s="3">
        <f t="shared" si="0"/>
        <v>0</v>
      </c>
    </row>
    <row r="8" spans="2:40" x14ac:dyDescent="0.25">
      <c r="B8" s="8" t="str">
        <f>SUMMARY!B10</f>
        <v>vinod kumar</v>
      </c>
      <c r="C8" s="17">
        <f t="shared" si="1"/>
        <v>0</v>
      </c>
      <c r="D8" s="8">
        <f t="shared" si="2"/>
        <v>0</v>
      </c>
      <c r="F8" s="4" t="s">
        <v>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L8" s="3">
        <f t="shared" si="3"/>
        <v>0</v>
      </c>
      <c r="AM8" s="3">
        <f t="shared" si="0"/>
        <v>1</v>
      </c>
      <c r="AN8" s="3">
        <f t="shared" si="0"/>
        <v>0</v>
      </c>
    </row>
    <row r="9" spans="2:40" x14ac:dyDescent="0.25">
      <c r="B9" s="8" t="str">
        <f>SUMMARY!B11</f>
        <v>saifuddin</v>
      </c>
      <c r="C9" s="17">
        <f t="shared" si="1"/>
        <v>1</v>
      </c>
      <c r="D9" s="8">
        <f t="shared" si="2"/>
        <v>1</v>
      </c>
      <c r="F9" s="4"/>
      <c r="G9" s="4" t="s">
        <v>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L9" s="3">
        <f t="shared" si="3"/>
        <v>1</v>
      </c>
      <c r="AM9" s="3">
        <f t="shared" si="0"/>
        <v>0</v>
      </c>
      <c r="AN9" s="3">
        <f t="shared" si="0"/>
        <v>0</v>
      </c>
    </row>
    <row r="10" spans="2:40" x14ac:dyDescent="0.25">
      <c r="B10" s="8" t="str">
        <f>SUMMARY!B12</f>
        <v>pawan kumar</v>
      </c>
      <c r="C10" s="17">
        <f t="shared" si="1"/>
        <v>1</v>
      </c>
      <c r="D10" s="8">
        <f t="shared" si="2"/>
        <v>1</v>
      </c>
      <c r="F10" s="4" t="s">
        <v>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L10" s="3">
        <f t="shared" si="3"/>
        <v>1</v>
      </c>
      <c r="AM10" s="3">
        <f t="shared" si="0"/>
        <v>0</v>
      </c>
      <c r="AN10" s="3">
        <f t="shared" si="0"/>
        <v>0</v>
      </c>
    </row>
    <row r="11" spans="2:40" x14ac:dyDescent="0.25">
      <c r="B11" s="8" t="str">
        <f>SUMMARY!B13</f>
        <v>gouthm</v>
      </c>
      <c r="C11" s="17">
        <f t="shared" si="1"/>
        <v>0</v>
      </c>
      <c r="D11" s="8">
        <f t="shared" si="2"/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L11" s="3">
        <f t="shared" si="3"/>
        <v>0</v>
      </c>
      <c r="AM11" s="3">
        <f t="shared" si="0"/>
        <v>0</v>
      </c>
      <c r="AN11" s="3">
        <f t="shared" si="0"/>
        <v>0</v>
      </c>
    </row>
    <row r="12" spans="2:40" x14ac:dyDescent="0.25">
      <c r="B12" s="8" t="str">
        <f>SUMMARY!B14</f>
        <v>moksha</v>
      </c>
      <c r="C12" s="17">
        <f t="shared" si="1"/>
        <v>0</v>
      </c>
      <c r="D12" s="8">
        <f t="shared" si="2"/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L12" s="3">
        <f t="shared" si="3"/>
        <v>0</v>
      </c>
      <c r="AM12" s="3">
        <f t="shared" si="0"/>
        <v>0</v>
      </c>
      <c r="AN12" s="3">
        <f t="shared" si="0"/>
        <v>0</v>
      </c>
    </row>
    <row r="13" spans="2:40" x14ac:dyDescent="0.25">
      <c r="B13" s="8" t="str">
        <f>SUMMARY!B15</f>
        <v>chandan</v>
      </c>
      <c r="C13" s="17">
        <f t="shared" si="1"/>
        <v>0</v>
      </c>
      <c r="D13" s="8">
        <f t="shared" si="2"/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L13" s="3">
        <f t="shared" si="3"/>
        <v>0</v>
      </c>
      <c r="AM13" s="3">
        <f t="shared" si="0"/>
        <v>0</v>
      </c>
      <c r="AN13" s="3">
        <f t="shared" si="0"/>
        <v>0</v>
      </c>
    </row>
  </sheetData>
  <mergeCells count="1">
    <mergeCell ref="C3:D3"/>
  </mergeCells>
  <conditionalFormatting sqref="F4:AJ13">
    <cfRule type="cellIs" dxfId="14" priority="2" operator="equal">
      <formula>$AN$3</formula>
    </cfRule>
    <cfRule type="cellIs" dxfId="13" priority="3" operator="equal">
      <formula>$AM$3</formula>
    </cfRule>
    <cfRule type="cellIs" dxfId="12" priority="4" operator="equal">
      <formula>$AL$3</formula>
    </cfRule>
  </conditionalFormatting>
  <conditionalFormatting sqref="D4:D13">
    <cfRule type="dataBar" priority="1">
      <dataBar showValue="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{1C6490FB-B1FF-4D3E-9CA5-4AC635718993}</x14:id>
        </ext>
      </extLst>
    </cfRule>
  </conditionalFormatting>
  <dataValidations count="1">
    <dataValidation type="list" allowBlank="1" showInputMessage="1" showErrorMessage="1" sqref="F4:AJ13" xr:uid="{D67487EE-621C-49EA-BD36-2BEC3F3A2D60}">
      <formula1>$AL$3:$AN$3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6490FB-B1FF-4D3E-9CA5-4AC6357189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D4:D13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195B6-247B-4E96-BBFA-4D32E499AF91}">
  <dimension ref="B1:AN13"/>
  <sheetViews>
    <sheetView showGridLines="0" topLeftCell="E1" workbookViewId="0">
      <selection activeCell="AL4" sqref="AL4:AN13"/>
    </sheetView>
  </sheetViews>
  <sheetFormatPr defaultColWidth="4.7109375" defaultRowHeight="15" x14ac:dyDescent="0.25"/>
  <cols>
    <col min="1" max="1" width="4.7109375" style="1"/>
    <col min="2" max="2" width="12.7109375" style="7" customWidth="1"/>
    <col min="3" max="3" width="6.7109375" style="7" customWidth="1"/>
    <col min="4" max="4" width="12.7109375" style="7" customWidth="1"/>
    <col min="5" max="16384" width="4.7109375" style="1"/>
  </cols>
  <sheetData>
    <row r="1" spans="2:40" s="2" customFormat="1" ht="20.100000000000001" customHeight="1" x14ac:dyDescent="0.3">
      <c r="B1" s="5" t="s">
        <v>25</v>
      </c>
      <c r="C1" s="5"/>
      <c r="D1" s="5"/>
    </row>
    <row r="3" spans="2:40" x14ac:dyDescent="0.25">
      <c r="B3" s="9" t="s">
        <v>2</v>
      </c>
      <c r="C3" s="26" t="s">
        <v>3</v>
      </c>
      <c r="D3" s="26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  <c r="Y3" s="15">
        <v>20</v>
      </c>
      <c r="Z3" s="15">
        <v>21</v>
      </c>
      <c r="AA3" s="15">
        <v>22</v>
      </c>
      <c r="AB3" s="15">
        <v>23</v>
      </c>
      <c r="AC3" s="15">
        <v>24</v>
      </c>
      <c r="AD3" s="15">
        <v>25</v>
      </c>
      <c r="AE3" s="15">
        <v>26</v>
      </c>
      <c r="AF3" s="15">
        <v>27</v>
      </c>
      <c r="AG3" s="15">
        <v>28</v>
      </c>
      <c r="AH3" s="15">
        <v>29</v>
      </c>
      <c r="AI3" s="15">
        <v>30</v>
      </c>
      <c r="AJ3" s="15">
        <v>31</v>
      </c>
      <c r="AL3" s="12" t="str">
        <f>SUMMARY!F5</f>
        <v>Y</v>
      </c>
      <c r="AM3" s="13" t="str">
        <f>SUMMARY!G5</f>
        <v>N</v>
      </c>
      <c r="AN3" s="14" t="str">
        <f>SUMMARY!H5</f>
        <v>E</v>
      </c>
    </row>
    <row r="4" spans="2:40" x14ac:dyDescent="0.25">
      <c r="B4" s="8" t="str">
        <f>SUMMARY!B6</f>
        <v>Vinod</v>
      </c>
      <c r="C4" s="8">
        <f>D4</f>
        <v>0</v>
      </c>
      <c r="D4" s="8">
        <f>IF(COUNTA(F4:AJ4)=0,0,1-AM4/COUNTA(F4:AJ4))</f>
        <v>0</v>
      </c>
      <c r="F4" s="16" t="s">
        <v>5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L4" s="3">
        <f>COUNTIF($F4:$AJ4,AL$3)</f>
        <v>0</v>
      </c>
      <c r="AM4" s="3">
        <f t="shared" ref="AM4:AN13" si="0">COUNTIF($F4:$AJ4,AM$3)</f>
        <v>1</v>
      </c>
      <c r="AN4" s="3">
        <f t="shared" si="0"/>
        <v>0</v>
      </c>
    </row>
    <row r="5" spans="2:40" x14ac:dyDescent="0.25">
      <c r="B5" s="8" t="str">
        <f>SUMMARY!B7</f>
        <v>Rakesh</v>
      </c>
      <c r="C5" s="8">
        <f t="shared" ref="C5:C13" si="1">D5</f>
        <v>1</v>
      </c>
      <c r="D5" s="8">
        <f t="shared" ref="D5:D13" si="2">IF(COUNTA(F5:AJ5)=0,0,1-AM5/COUNTA(F5:AJ5))</f>
        <v>1</v>
      </c>
      <c r="F5" s="4" t="s">
        <v>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L5" s="3">
        <f t="shared" ref="AL5:AL13" si="3">COUNTIF($F5:$AJ5,AL$3)</f>
        <v>0</v>
      </c>
      <c r="AM5" s="3">
        <f t="shared" si="0"/>
        <v>0</v>
      </c>
      <c r="AN5" s="3">
        <f t="shared" si="0"/>
        <v>1</v>
      </c>
    </row>
    <row r="6" spans="2:40" x14ac:dyDescent="0.25">
      <c r="B6" s="8" t="str">
        <f>SUMMARY!B8</f>
        <v>charan</v>
      </c>
      <c r="C6" s="8">
        <f t="shared" si="1"/>
        <v>0</v>
      </c>
      <c r="D6" s="8">
        <f t="shared" si="2"/>
        <v>0</v>
      </c>
      <c r="F6" s="4"/>
      <c r="G6" s="4" t="s">
        <v>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L6" s="3">
        <f t="shared" si="3"/>
        <v>0</v>
      </c>
      <c r="AM6" s="3">
        <f t="shared" si="0"/>
        <v>1</v>
      </c>
      <c r="AN6" s="3">
        <f t="shared" si="0"/>
        <v>0</v>
      </c>
    </row>
    <row r="7" spans="2:40" x14ac:dyDescent="0.25">
      <c r="B7" s="8" t="str">
        <f>SUMMARY!B9</f>
        <v>ranganna</v>
      </c>
      <c r="C7" s="8">
        <f t="shared" si="1"/>
        <v>0</v>
      </c>
      <c r="D7" s="8">
        <f t="shared" si="2"/>
        <v>0</v>
      </c>
      <c r="F7" s="4"/>
      <c r="G7" s="4" t="s">
        <v>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L7" s="3">
        <f t="shared" si="3"/>
        <v>0</v>
      </c>
      <c r="AM7" s="3">
        <f t="shared" si="0"/>
        <v>1</v>
      </c>
      <c r="AN7" s="3">
        <f t="shared" si="0"/>
        <v>0</v>
      </c>
    </row>
    <row r="8" spans="2:40" x14ac:dyDescent="0.25">
      <c r="B8" s="8" t="str">
        <f>SUMMARY!B10</f>
        <v>vinod kumar</v>
      </c>
      <c r="C8" s="8">
        <f t="shared" si="1"/>
        <v>0</v>
      </c>
      <c r="D8" s="8">
        <f t="shared" si="2"/>
        <v>0</v>
      </c>
      <c r="F8" s="4" t="s">
        <v>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L8" s="3">
        <f t="shared" si="3"/>
        <v>0</v>
      </c>
      <c r="AM8" s="3">
        <f t="shared" si="0"/>
        <v>1</v>
      </c>
      <c r="AN8" s="3">
        <f t="shared" si="0"/>
        <v>0</v>
      </c>
    </row>
    <row r="9" spans="2:40" x14ac:dyDescent="0.25">
      <c r="B9" s="8" t="str">
        <f>SUMMARY!B11</f>
        <v>saifuddin</v>
      </c>
      <c r="C9" s="8">
        <f t="shared" si="1"/>
        <v>1</v>
      </c>
      <c r="D9" s="8">
        <f t="shared" si="2"/>
        <v>1</v>
      </c>
      <c r="F9" s="4"/>
      <c r="G9" s="4" t="s">
        <v>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L9" s="3">
        <f t="shared" si="3"/>
        <v>1</v>
      </c>
      <c r="AM9" s="3">
        <f t="shared" si="0"/>
        <v>0</v>
      </c>
      <c r="AN9" s="3">
        <f t="shared" si="0"/>
        <v>0</v>
      </c>
    </row>
    <row r="10" spans="2:40" x14ac:dyDescent="0.25">
      <c r="B10" s="8" t="str">
        <f>SUMMARY!B12</f>
        <v>pawan kumar</v>
      </c>
      <c r="C10" s="8">
        <f t="shared" si="1"/>
        <v>1</v>
      </c>
      <c r="D10" s="8">
        <f t="shared" si="2"/>
        <v>1</v>
      </c>
      <c r="F10" s="4" t="s">
        <v>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L10" s="3">
        <f t="shared" si="3"/>
        <v>1</v>
      </c>
      <c r="AM10" s="3">
        <f t="shared" si="0"/>
        <v>0</v>
      </c>
      <c r="AN10" s="3">
        <f t="shared" si="0"/>
        <v>0</v>
      </c>
    </row>
    <row r="11" spans="2:40" x14ac:dyDescent="0.25">
      <c r="B11" s="8" t="str">
        <f>SUMMARY!B13</f>
        <v>gouthm</v>
      </c>
      <c r="C11" s="8">
        <f t="shared" si="1"/>
        <v>0</v>
      </c>
      <c r="D11" s="8">
        <f t="shared" si="2"/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L11" s="3">
        <f t="shared" si="3"/>
        <v>0</v>
      </c>
      <c r="AM11" s="3">
        <f t="shared" si="0"/>
        <v>0</v>
      </c>
      <c r="AN11" s="3">
        <f t="shared" si="0"/>
        <v>0</v>
      </c>
    </row>
    <row r="12" spans="2:40" x14ac:dyDescent="0.25">
      <c r="B12" s="8" t="str">
        <f>SUMMARY!B14</f>
        <v>moksha</v>
      </c>
      <c r="C12" s="8">
        <f t="shared" si="1"/>
        <v>0</v>
      </c>
      <c r="D12" s="8">
        <f t="shared" si="2"/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L12" s="3">
        <f t="shared" si="3"/>
        <v>0</v>
      </c>
      <c r="AM12" s="3">
        <f t="shared" si="0"/>
        <v>0</v>
      </c>
      <c r="AN12" s="3">
        <f t="shared" si="0"/>
        <v>0</v>
      </c>
    </row>
    <row r="13" spans="2:40" x14ac:dyDescent="0.25">
      <c r="B13" s="8" t="str">
        <f>SUMMARY!B15</f>
        <v>chandan</v>
      </c>
      <c r="C13" s="8">
        <f t="shared" si="1"/>
        <v>0</v>
      </c>
      <c r="D13" s="8">
        <f t="shared" si="2"/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L13" s="3">
        <f t="shared" si="3"/>
        <v>0</v>
      </c>
      <c r="AM13" s="3">
        <f t="shared" si="0"/>
        <v>0</v>
      </c>
      <c r="AN13" s="3">
        <f t="shared" si="0"/>
        <v>0</v>
      </c>
    </row>
  </sheetData>
  <mergeCells count="1">
    <mergeCell ref="C3:D3"/>
  </mergeCells>
  <conditionalFormatting sqref="F4:AJ13">
    <cfRule type="cellIs" dxfId="11" priority="2" operator="equal">
      <formula>$AN$3</formula>
    </cfRule>
    <cfRule type="cellIs" dxfId="10" priority="3" operator="equal">
      <formula>$AM$3</formula>
    </cfRule>
    <cfRule type="cellIs" dxfId="9" priority="4" operator="equal">
      <formula>$AL$3</formula>
    </cfRule>
  </conditionalFormatting>
  <conditionalFormatting sqref="D4:D13">
    <cfRule type="dataBar" priority="1">
      <dataBar showValue="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{CC08C5AE-DF0A-4DAC-B396-652F6BB2D9F5}</x14:id>
        </ext>
      </extLst>
    </cfRule>
  </conditionalFormatting>
  <dataValidations count="1">
    <dataValidation type="list" allowBlank="1" showInputMessage="1" showErrorMessage="1" sqref="F4:AJ13" xr:uid="{AC13A804-9189-4F79-BF65-413C73C762A0}">
      <formula1>$AL$3:$AN$3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08C5AE-DF0A-4DAC-B396-652F6BB2D9F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D4:D13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B3CBE-731A-4528-9B72-0439AE1DBC00}">
  <dimension ref="B1:AN13"/>
  <sheetViews>
    <sheetView showGridLines="0" topLeftCell="M1" workbookViewId="0">
      <selection activeCell="AL4" sqref="AL4:AN13"/>
    </sheetView>
  </sheetViews>
  <sheetFormatPr defaultColWidth="4.7109375" defaultRowHeight="15" x14ac:dyDescent="0.25"/>
  <cols>
    <col min="1" max="1" width="4.7109375" style="1"/>
    <col min="2" max="2" width="12.7109375" style="7" customWidth="1"/>
    <col min="3" max="3" width="6.7109375" style="7" customWidth="1"/>
    <col min="4" max="4" width="12.7109375" style="7" customWidth="1"/>
    <col min="5" max="16384" width="4.7109375" style="1"/>
  </cols>
  <sheetData>
    <row r="1" spans="2:40" s="2" customFormat="1" ht="20.100000000000001" customHeight="1" x14ac:dyDescent="0.3">
      <c r="B1" s="5" t="s">
        <v>26</v>
      </c>
      <c r="C1" s="5"/>
      <c r="D1" s="5"/>
    </row>
    <row r="3" spans="2:40" x14ac:dyDescent="0.25">
      <c r="B3" s="9" t="s">
        <v>2</v>
      </c>
      <c r="C3" s="26" t="s">
        <v>3</v>
      </c>
      <c r="D3" s="26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  <c r="Y3" s="15">
        <v>20</v>
      </c>
      <c r="Z3" s="15">
        <v>21</v>
      </c>
      <c r="AA3" s="15">
        <v>22</v>
      </c>
      <c r="AB3" s="15">
        <v>23</v>
      </c>
      <c r="AC3" s="15">
        <v>24</v>
      </c>
      <c r="AD3" s="15">
        <v>25</v>
      </c>
      <c r="AE3" s="15">
        <v>26</v>
      </c>
      <c r="AF3" s="15">
        <v>27</v>
      </c>
      <c r="AG3" s="15">
        <v>28</v>
      </c>
      <c r="AH3" s="15">
        <v>29</v>
      </c>
      <c r="AI3" s="15">
        <v>30</v>
      </c>
      <c r="AJ3" s="15">
        <v>31</v>
      </c>
      <c r="AL3" s="12" t="str">
        <f>SUMMARY!F5</f>
        <v>Y</v>
      </c>
      <c r="AM3" s="13" t="str">
        <f>SUMMARY!G5</f>
        <v>N</v>
      </c>
      <c r="AN3" s="14" t="str">
        <f>SUMMARY!H5</f>
        <v>E</v>
      </c>
    </row>
    <row r="4" spans="2:40" x14ac:dyDescent="0.25">
      <c r="B4" s="8" t="str">
        <f>SUMMARY!B6</f>
        <v>Vinod</v>
      </c>
      <c r="C4" s="17">
        <f>D4</f>
        <v>0</v>
      </c>
      <c r="D4" s="8">
        <f>IF(COUNTA(F4:AJ4)=0,0,1-AM4/COUNTA(F4:AJ4))</f>
        <v>0</v>
      </c>
      <c r="F4" s="16" t="s">
        <v>5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L4" s="3">
        <f>COUNTIF($F4:$AJ4,AL$3)</f>
        <v>0</v>
      </c>
      <c r="AM4" s="3">
        <f t="shared" ref="AM4:AN13" si="0">COUNTIF($F4:$AJ4,AM$3)</f>
        <v>1</v>
      </c>
      <c r="AN4" s="3">
        <f t="shared" si="0"/>
        <v>0</v>
      </c>
    </row>
    <row r="5" spans="2:40" x14ac:dyDescent="0.25">
      <c r="B5" s="8" t="str">
        <f>SUMMARY!B7</f>
        <v>Rakesh</v>
      </c>
      <c r="C5" s="17">
        <f t="shared" ref="C5:C13" si="1">D5</f>
        <v>1</v>
      </c>
      <c r="D5" s="8">
        <f t="shared" ref="D5:D13" si="2">IF(COUNTA(F5:AJ5)=0,0,1-AM5/COUNTA(F5:AJ5))</f>
        <v>1</v>
      </c>
      <c r="F5" s="4" t="s">
        <v>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L5" s="3">
        <f t="shared" ref="AL5:AL13" si="3">COUNTIF($F5:$AJ5,AL$3)</f>
        <v>0</v>
      </c>
      <c r="AM5" s="3">
        <f t="shared" si="0"/>
        <v>0</v>
      </c>
      <c r="AN5" s="3">
        <f t="shared" si="0"/>
        <v>1</v>
      </c>
    </row>
    <row r="6" spans="2:40" x14ac:dyDescent="0.25">
      <c r="B6" s="8" t="str">
        <f>SUMMARY!B8</f>
        <v>charan</v>
      </c>
      <c r="C6" s="17">
        <f t="shared" si="1"/>
        <v>0</v>
      </c>
      <c r="D6" s="8">
        <f t="shared" si="2"/>
        <v>0</v>
      </c>
      <c r="F6" s="4"/>
      <c r="G6" s="4" t="s">
        <v>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L6" s="3">
        <f t="shared" si="3"/>
        <v>0</v>
      </c>
      <c r="AM6" s="3">
        <f t="shared" si="0"/>
        <v>1</v>
      </c>
      <c r="AN6" s="3">
        <f t="shared" si="0"/>
        <v>0</v>
      </c>
    </row>
    <row r="7" spans="2:40" x14ac:dyDescent="0.25">
      <c r="B7" s="8" t="str">
        <f>SUMMARY!B9</f>
        <v>ranganna</v>
      </c>
      <c r="C7" s="17">
        <f t="shared" si="1"/>
        <v>0</v>
      </c>
      <c r="D7" s="8">
        <f t="shared" si="2"/>
        <v>0</v>
      </c>
      <c r="F7" s="4"/>
      <c r="G7" s="4" t="s">
        <v>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L7" s="3">
        <f t="shared" si="3"/>
        <v>0</v>
      </c>
      <c r="AM7" s="3">
        <f t="shared" si="0"/>
        <v>1</v>
      </c>
      <c r="AN7" s="3">
        <f t="shared" si="0"/>
        <v>0</v>
      </c>
    </row>
    <row r="8" spans="2:40" x14ac:dyDescent="0.25">
      <c r="B8" s="8" t="str">
        <f>SUMMARY!B10</f>
        <v>vinod kumar</v>
      </c>
      <c r="C8" s="17">
        <f t="shared" si="1"/>
        <v>0</v>
      </c>
      <c r="D8" s="8">
        <f t="shared" si="2"/>
        <v>0</v>
      </c>
      <c r="F8" s="4" t="s">
        <v>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L8" s="3">
        <f t="shared" si="3"/>
        <v>0</v>
      </c>
      <c r="AM8" s="3">
        <f t="shared" si="0"/>
        <v>1</v>
      </c>
      <c r="AN8" s="3">
        <f t="shared" si="0"/>
        <v>0</v>
      </c>
    </row>
    <row r="9" spans="2:40" x14ac:dyDescent="0.25">
      <c r="B9" s="8" t="str">
        <f>SUMMARY!B11</f>
        <v>saifuddin</v>
      </c>
      <c r="C9" s="17">
        <f t="shared" si="1"/>
        <v>1</v>
      </c>
      <c r="D9" s="8">
        <f t="shared" si="2"/>
        <v>1</v>
      </c>
      <c r="F9" s="4"/>
      <c r="G9" s="4" t="s">
        <v>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L9" s="3">
        <f t="shared" si="3"/>
        <v>1</v>
      </c>
      <c r="AM9" s="3">
        <f t="shared" si="0"/>
        <v>0</v>
      </c>
      <c r="AN9" s="3">
        <f t="shared" si="0"/>
        <v>0</v>
      </c>
    </row>
    <row r="10" spans="2:40" x14ac:dyDescent="0.25">
      <c r="B10" s="8" t="str">
        <f>SUMMARY!B12</f>
        <v>pawan kumar</v>
      </c>
      <c r="C10" s="17">
        <f t="shared" si="1"/>
        <v>1</v>
      </c>
      <c r="D10" s="8">
        <f t="shared" si="2"/>
        <v>1</v>
      </c>
      <c r="F10" s="4" t="s">
        <v>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L10" s="3">
        <f t="shared" si="3"/>
        <v>1</v>
      </c>
      <c r="AM10" s="3">
        <f t="shared" si="0"/>
        <v>0</v>
      </c>
      <c r="AN10" s="3">
        <f t="shared" si="0"/>
        <v>0</v>
      </c>
    </row>
    <row r="11" spans="2:40" x14ac:dyDescent="0.25">
      <c r="B11" s="8" t="str">
        <f>SUMMARY!B13</f>
        <v>gouthm</v>
      </c>
      <c r="C11" s="17">
        <f t="shared" si="1"/>
        <v>0</v>
      </c>
      <c r="D11" s="8">
        <f t="shared" si="2"/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L11" s="3">
        <f t="shared" si="3"/>
        <v>0</v>
      </c>
      <c r="AM11" s="3">
        <f t="shared" si="0"/>
        <v>0</v>
      </c>
      <c r="AN11" s="3">
        <f t="shared" si="0"/>
        <v>0</v>
      </c>
    </row>
    <row r="12" spans="2:40" x14ac:dyDescent="0.25">
      <c r="B12" s="8" t="str">
        <f>SUMMARY!B14</f>
        <v>moksha</v>
      </c>
      <c r="C12" s="17">
        <f t="shared" si="1"/>
        <v>0</v>
      </c>
      <c r="D12" s="8">
        <f t="shared" si="2"/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L12" s="3">
        <f t="shared" si="3"/>
        <v>0</v>
      </c>
      <c r="AM12" s="3">
        <f t="shared" si="0"/>
        <v>0</v>
      </c>
      <c r="AN12" s="3">
        <f t="shared" si="0"/>
        <v>0</v>
      </c>
    </row>
    <row r="13" spans="2:40" x14ac:dyDescent="0.25">
      <c r="B13" s="8" t="str">
        <f>SUMMARY!B15</f>
        <v>chandan</v>
      </c>
      <c r="C13" s="17">
        <f t="shared" si="1"/>
        <v>0</v>
      </c>
      <c r="D13" s="8">
        <f t="shared" si="2"/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L13" s="3">
        <f t="shared" si="3"/>
        <v>0</v>
      </c>
      <c r="AM13" s="3">
        <f t="shared" si="0"/>
        <v>0</v>
      </c>
      <c r="AN13" s="3">
        <f t="shared" si="0"/>
        <v>0</v>
      </c>
    </row>
  </sheetData>
  <mergeCells count="1">
    <mergeCell ref="C3:D3"/>
  </mergeCells>
  <conditionalFormatting sqref="F4:AJ13">
    <cfRule type="cellIs" dxfId="8" priority="2" operator="equal">
      <formula>$AN$3</formula>
    </cfRule>
    <cfRule type="cellIs" dxfId="7" priority="3" operator="equal">
      <formula>$AM$3</formula>
    </cfRule>
    <cfRule type="cellIs" dxfId="6" priority="4" operator="equal">
      <formula>$AL$3</formula>
    </cfRule>
  </conditionalFormatting>
  <conditionalFormatting sqref="D4:D13">
    <cfRule type="dataBar" priority="1">
      <dataBar showValue="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{B6CB1504-B48E-452A-99D6-7BC14B627AEE}</x14:id>
        </ext>
      </extLst>
    </cfRule>
  </conditionalFormatting>
  <dataValidations count="1">
    <dataValidation type="list" allowBlank="1" showInputMessage="1" showErrorMessage="1" sqref="F4:AJ13" xr:uid="{4DEABC91-6CFC-4DF8-A4F9-BA8EF84508F0}">
      <formula1>$AL$3:$AN$3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CB1504-B48E-452A-99D6-7BC14B627AE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D4:D13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CCD97-49B8-464B-86E5-8997ED6457ED}">
  <dimension ref="B1:AN13"/>
  <sheetViews>
    <sheetView showGridLines="0" topLeftCell="AA1" workbookViewId="0">
      <selection activeCell="AL4" sqref="AL4:AN13"/>
    </sheetView>
  </sheetViews>
  <sheetFormatPr defaultColWidth="4.7109375" defaultRowHeight="15" x14ac:dyDescent="0.25"/>
  <cols>
    <col min="1" max="1" width="4.7109375" style="1"/>
    <col min="2" max="2" width="12.7109375" style="7" customWidth="1"/>
    <col min="3" max="3" width="6.7109375" style="7" customWidth="1"/>
    <col min="4" max="4" width="12.7109375" style="7" customWidth="1"/>
    <col min="5" max="16384" width="4.7109375" style="1"/>
  </cols>
  <sheetData>
    <row r="1" spans="2:40" s="2" customFormat="1" ht="20.100000000000001" customHeight="1" x14ac:dyDescent="0.3">
      <c r="B1" s="5" t="s">
        <v>27</v>
      </c>
      <c r="C1" s="5"/>
      <c r="D1" s="5"/>
    </row>
    <row r="3" spans="2:40" x14ac:dyDescent="0.25">
      <c r="B3" s="9" t="s">
        <v>2</v>
      </c>
      <c r="C3" s="26" t="s">
        <v>3</v>
      </c>
      <c r="D3" s="26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  <c r="Y3" s="15">
        <v>20</v>
      </c>
      <c r="Z3" s="15">
        <v>21</v>
      </c>
      <c r="AA3" s="15">
        <v>22</v>
      </c>
      <c r="AB3" s="15">
        <v>23</v>
      </c>
      <c r="AC3" s="15">
        <v>24</v>
      </c>
      <c r="AD3" s="15">
        <v>25</v>
      </c>
      <c r="AE3" s="15">
        <v>26</v>
      </c>
      <c r="AF3" s="15">
        <v>27</v>
      </c>
      <c r="AG3" s="15">
        <v>28</v>
      </c>
      <c r="AH3" s="15">
        <v>29</v>
      </c>
      <c r="AI3" s="15">
        <v>30</v>
      </c>
      <c r="AJ3" s="15">
        <v>31</v>
      </c>
      <c r="AL3" s="12" t="str">
        <f>SUMMARY!F5</f>
        <v>Y</v>
      </c>
      <c r="AM3" s="13" t="str">
        <f>SUMMARY!G5</f>
        <v>N</v>
      </c>
      <c r="AN3" s="14" t="str">
        <f>SUMMARY!H5</f>
        <v>E</v>
      </c>
    </row>
    <row r="4" spans="2:40" x14ac:dyDescent="0.25">
      <c r="B4" s="8" t="str">
        <f>SUMMARY!B6</f>
        <v>Vinod</v>
      </c>
      <c r="C4" s="8">
        <f>D4</f>
        <v>0</v>
      </c>
      <c r="D4" s="8">
        <f>IF(COUNTA(F4:AJ4)=0,0,1-AM4/COUNTA(F4:AJ4))</f>
        <v>0</v>
      </c>
      <c r="F4" s="16" t="s">
        <v>5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L4" s="3">
        <f>COUNTIF($F4:$AJ4,AL$3)</f>
        <v>0</v>
      </c>
      <c r="AM4" s="3">
        <f t="shared" ref="AM4:AN13" si="0">COUNTIF($F4:$AJ4,AM$3)</f>
        <v>1</v>
      </c>
      <c r="AN4" s="3">
        <f t="shared" si="0"/>
        <v>0</v>
      </c>
    </row>
    <row r="5" spans="2:40" x14ac:dyDescent="0.25">
      <c r="B5" s="8" t="str">
        <f>SUMMARY!B7</f>
        <v>Rakesh</v>
      </c>
      <c r="C5" s="8">
        <f t="shared" ref="C5:C13" si="1">D5</f>
        <v>1</v>
      </c>
      <c r="D5" s="8">
        <f t="shared" ref="D5:D13" si="2">IF(COUNTA(F5:AJ5)=0,0,1-AM5/COUNTA(F5:AJ5))</f>
        <v>1</v>
      </c>
      <c r="F5" s="4" t="s">
        <v>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L5" s="3">
        <f t="shared" ref="AL5:AL13" si="3">COUNTIF($F5:$AJ5,AL$3)</f>
        <v>0</v>
      </c>
      <c r="AM5" s="3">
        <f t="shared" si="0"/>
        <v>0</v>
      </c>
      <c r="AN5" s="3">
        <f t="shared" si="0"/>
        <v>1</v>
      </c>
    </row>
    <row r="6" spans="2:40" x14ac:dyDescent="0.25">
      <c r="B6" s="8" t="str">
        <f>SUMMARY!B8</f>
        <v>charan</v>
      </c>
      <c r="C6" s="8">
        <f t="shared" si="1"/>
        <v>0</v>
      </c>
      <c r="D6" s="8">
        <f t="shared" si="2"/>
        <v>0</v>
      </c>
      <c r="F6" s="4"/>
      <c r="G6" s="4" t="s">
        <v>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L6" s="3">
        <f t="shared" si="3"/>
        <v>0</v>
      </c>
      <c r="AM6" s="3">
        <f t="shared" si="0"/>
        <v>1</v>
      </c>
      <c r="AN6" s="3">
        <f t="shared" si="0"/>
        <v>0</v>
      </c>
    </row>
    <row r="7" spans="2:40" x14ac:dyDescent="0.25">
      <c r="B7" s="8" t="str">
        <f>SUMMARY!B9</f>
        <v>ranganna</v>
      </c>
      <c r="C7" s="8">
        <f t="shared" si="1"/>
        <v>0</v>
      </c>
      <c r="D7" s="8">
        <f t="shared" si="2"/>
        <v>0</v>
      </c>
      <c r="F7" s="4"/>
      <c r="G7" s="4" t="s">
        <v>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L7" s="3">
        <f t="shared" si="3"/>
        <v>0</v>
      </c>
      <c r="AM7" s="3">
        <f t="shared" si="0"/>
        <v>1</v>
      </c>
      <c r="AN7" s="3">
        <f t="shared" si="0"/>
        <v>0</v>
      </c>
    </row>
    <row r="8" spans="2:40" x14ac:dyDescent="0.25">
      <c r="B8" s="8" t="str">
        <f>SUMMARY!B10</f>
        <v>vinod kumar</v>
      </c>
      <c r="C8" s="8">
        <f t="shared" si="1"/>
        <v>0</v>
      </c>
      <c r="D8" s="8">
        <f t="shared" si="2"/>
        <v>0</v>
      </c>
      <c r="F8" s="4" t="s">
        <v>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L8" s="3">
        <f t="shared" si="3"/>
        <v>0</v>
      </c>
      <c r="AM8" s="3">
        <f t="shared" si="0"/>
        <v>1</v>
      </c>
      <c r="AN8" s="3">
        <f t="shared" si="0"/>
        <v>0</v>
      </c>
    </row>
    <row r="9" spans="2:40" x14ac:dyDescent="0.25">
      <c r="B9" s="8" t="str">
        <f>SUMMARY!B11</f>
        <v>saifuddin</v>
      </c>
      <c r="C9" s="8">
        <f t="shared" si="1"/>
        <v>1</v>
      </c>
      <c r="D9" s="8">
        <f t="shared" si="2"/>
        <v>1</v>
      </c>
      <c r="F9" s="4"/>
      <c r="G9" s="4" t="s">
        <v>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L9" s="3">
        <f t="shared" si="3"/>
        <v>1</v>
      </c>
      <c r="AM9" s="3">
        <f t="shared" si="0"/>
        <v>0</v>
      </c>
      <c r="AN9" s="3">
        <f t="shared" si="0"/>
        <v>0</v>
      </c>
    </row>
    <row r="10" spans="2:40" x14ac:dyDescent="0.25">
      <c r="B10" s="8" t="str">
        <f>SUMMARY!B12</f>
        <v>pawan kumar</v>
      </c>
      <c r="C10" s="8">
        <f t="shared" si="1"/>
        <v>1</v>
      </c>
      <c r="D10" s="8">
        <f t="shared" si="2"/>
        <v>1</v>
      </c>
      <c r="F10" s="4" t="s">
        <v>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L10" s="3">
        <f t="shared" si="3"/>
        <v>1</v>
      </c>
      <c r="AM10" s="3">
        <f t="shared" si="0"/>
        <v>0</v>
      </c>
      <c r="AN10" s="3">
        <f t="shared" si="0"/>
        <v>0</v>
      </c>
    </row>
    <row r="11" spans="2:40" x14ac:dyDescent="0.25">
      <c r="B11" s="8" t="str">
        <f>SUMMARY!B13</f>
        <v>gouthm</v>
      </c>
      <c r="C11" s="8">
        <f t="shared" si="1"/>
        <v>0</v>
      </c>
      <c r="D11" s="8">
        <f t="shared" si="2"/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L11" s="3">
        <f t="shared" si="3"/>
        <v>0</v>
      </c>
      <c r="AM11" s="3">
        <f t="shared" si="0"/>
        <v>0</v>
      </c>
      <c r="AN11" s="3">
        <f t="shared" si="0"/>
        <v>0</v>
      </c>
    </row>
    <row r="12" spans="2:40" x14ac:dyDescent="0.25">
      <c r="B12" s="8" t="str">
        <f>SUMMARY!B14</f>
        <v>moksha</v>
      </c>
      <c r="C12" s="8">
        <f t="shared" si="1"/>
        <v>0</v>
      </c>
      <c r="D12" s="8">
        <f t="shared" si="2"/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L12" s="3">
        <f t="shared" si="3"/>
        <v>0</v>
      </c>
      <c r="AM12" s="3">
        <f t="shared" si="0"/>
        <v>0</v>
      </c>
      <c r="AN12" s="3">
        <f t="shared" si="0"/>
        <v>0</v>
      </c>
    </row>
    <row r="13" spans="2:40" x14ac:dyDescent="0.25">
      <c r="B13" s="8" t="str">
        <f>SUMMARY!B15</f>
        <v>chandan</v>
      </c>
      <c r="C13" s="8">
        <f t="shared" si="1"/>
        <v>0</v>
      </c>
      <c r="D13" s="8">
        <f t="shared" si="2"/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L13" s="3">
        <f t="shared" si="3"/>
        <v>0</v>
      </c>
      <c r="AM13" s="3">
        <f t="shared" si="0"/>
        <v>0</v>
      </c>
      <c r="AN13" s="3">
        <f t="shared" si="0"/>
        <v>0</v>
      </c>
    </row>
  </sheetData>
  <mergeCells count="1">
    <mergeCell ref="C3:D3"/>
  </mergeCells>
  <conditionalFormatting sqref="F4:AJ13">
    <cfRule type="cellIs" dxfId="5" priority="3" operator="equal">
      <formula>$AN$3</formula>
    </cfRule>
    <cfRule type="cellIs" dxfId="4" priority="4" operator="equal">
      <formula>$AM$3</formula>
    </cfRule>
    <cfRule type="cellIs" dxfId="3" priority="5" operator="equal">
      <formula>$AL$3</formula>
    </cfRule>
  </conditionalFormatting>
  <conditionalFormatting sqref="D4:D13">
    <cfRule type="dataBar" priority="1">
      <dataBar showValue="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{7E788630-B0D9-4B6B-AAEE-14592F56AE48}</x14:id>
        </ext>
      </extLst>
    </cfRule>
  </conditionalFormatting>
  <dataValidations count="1">
    <dataValidation type="list" allowBlank="1" showInputMessage="1" showErrorMessage="1" sqref="F4:AJ13" xr:uid="{66ECBB94-BC21-425E-A1EA-BCEADE253A1F}">
      <formula1>$AL$3:$AN$3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788630-B0D9-4B6B-AAEE-14592F56AE4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D4:D13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8E2C5-14B7-441F-8504-EA2738E2513E}">
  <dimension ref="B1:AN13"/>
  <sheetViews>
    <sheetView showGridLines="0" topLeftCell="R1" workbookViewId="0">
      <selection activeCell="AL4" sqref="AL4:AN13"/>
    </sheetView>
  </sheetViews>
  <sheetFormatPr defaultColWidth="4.7109375" defaultRowHeight="15" x14ac:dyDescent="0.25"/>
  <cols>
    <col min="1" max="1" width="4.7109375" style="1"/>
    <col min="2" max="2" width="12.7109375" style="7" customWidth="1"/>
    <col min="3" max="3" width="6.7109375" style="7" customWidth="1"/>
    <col min="4" max="4" width="12.7109375" style="7" customWidth="1"/>
    <col min="5" max="16384" width="4.7109375" style="1"/>
  </cols>
  <sheetData>
    <row r="1" spans="2:40" s="2" customFormat="1" ht="20.100000000000001" customHeight="1" x14ac:dyDescent="0.3">
      <c r="B1" s="5" t="s">
        <v>28</v>
      </c>
      <c r="C1" s="5"/>
      <c r="D1" s="5"/>
    </row>
    <row r="3" spans="2:40" x14ac:dyDescent="0.25">
      <c r="B3" s="9" t="s">
        <v>2</v>
      </c>
      <c r="C3" s="26" t="s">
        <v>3</v>
      </c>
      <c r="D3" s="26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  <c r="Y3" s="15">
        <v>20</v>
      </c>
      <c r="Z3" s="15">
        <v>21</v>
      </c>
      <c r="AA3" s="15">
        <v>22</v>
      </c>
      <c r="AB3" s="15">
        <v>23</v>
      </c>
      <c r="AC3" s="15">
        <v>24</v>
      </c>
      <c r="AD3" s="15">
        <v>25</v>
      </c>
      <c r="AE3" s="15">
        <v>26</v>
      </c>
      <c r="AF3" s="15">
        <v>27</v>
      </c>
      <c r="AG3" s="15">
        <v>28</v>
      </c>
      <c r="AH3" s="15">
        <v>29</v>
      </c>
      <c r="AI3" s="15">
        <v>30</v>
      </c>
      <c r="AJ3" s="15">
        <v>31</v>
      </c>
      <c r="AL3" s="12" t="str">
        <f>SUMMARY!F5</f>
        <v>Y</v>
      </c>
      <c r="AM3" s="13" t="str">
        <f>SUMMARY!G5</f>
        <v>N</v>
      </c>
      <c r="AN3" s="14" t="str">
        <f>SUMMARY!H5</f>
        <v>E</v>
      </c>
    </row>
    <row r="4" spans="2:40" x14ac:dyDescent="0.25">
      <c r="B4" s="8" t="str">
        <f>SUMMARY!B6</f>
        <v>Vinod</v>
      </c>
      <c r="C4" s="8">
        <f>D4</f>
        <v>0</v>
      </c>
      <c r="D4" s="8">
        <f>IF(COUNTA(F4:AJ4)=0,0,1-AM4/COUNTA(F4:AJ4))</f>
        <v>0</v>
      </c>
      <c r="F4" s="16" t="s">
        <v>5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L4" s="3">
        <f>COUNTIF($F4:$AJ4,AL$3)</f>
        <v>0</v>
      </c>
      <c r="AM4" s="3">
        <f t="shared" ref="AM4:AN13" si="0">COUNTIF($F4:$AJ4,AM$3)</f>
        <v>1</v>
      </c>
      <c r="AN4" s="3">
        <f t="shared" si="0"/>
        <v>0</v>
      </c>
    </row>
    <row r="5" spans="2:40" x14ac:dyDescent="0.25">
      <c r="B5" s="8" t="str">
        <f>SUMMARY!B7</f>
        <v>Rakesh</v>
      </c>
      <c r="C5" s="8">
        <f t="shared" ref="C5:C13" si="1">D5</f>
        <v>1</v>
      </c>
      <c r="D5" s="8">
        <f t="shared" ref="D5:D13" si="2">IF(COUNTA(F5:AJ5)=0,0,1-AM5/COUNTA(F5:AJ5))</f>
        <v>1</v>
      </c>
      <c r="F5" s="4" t="s">
        <v>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L5" s="3">
        <f t="shared" ref="AL5:AL13" si="3">COUNTIF($F5:$AJ5,AL$3)</f>
        <v>0</v>
      </c>
      <c r="AM5" s="3">
        <f t="shared" si="0"/>
        <v>0</v>
      </c>
      <c r="AN5" s="3">
        <f t="shared" si="0"/>
        <v>1</v>
      </c>
    </row>
    <row r="6" spans="2:40" x14ac:dyDescent="0.25">
      <c r="B6" s="8" t="str">
        <f>SUMMARY!B8</f>
        <v>charan</v>
      </c>
      <c r="C6" s="8">
        <f t="shared" si="1"/>
        <v>0</v>
      </c>
      <c r="D6" s="8">
        <f t="shared" si="2"/>
        <v>0</v>
      </c>
      <c r="F6" s="4"/>
      <c r="G6" s="4" t="s">
        <v>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L6" s="3">
        <f t="shared" si="3"/>
        <v>0</v>
      </c>
      <c r="AM6" s="3">
        <f t="shared" si="0"/>
        <v>1</v>
      </c>
      <c r="AN6" s="3">
        <f t="shared" si="0"/>
        <v>0</v>
      </c>
    </row>
    <row r="7" spans="2:40" x14ac:dyDescent="0.25">
      <c r="B7" s="8" t="str">
        <f>SUMMARY!B9</f>
        <v>ranganna</v>
      </c>
      <c r="C7" s="8">
        <f t="shared" si="1"/>
        <v>0</v>
      </c>
      <c r="D7" s="8">
        <f t="shared" si="2"/>
        <v>0</v>
      </c>
      <c r="F7" s="4"/>
      <c r="G7" s="4" t="s">
        <v>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L7" s="3">
        <f t="shared" si="3"/>
        <v>0</v>
      </c>
      <c r="AM7" s="3">
        <f t="shared" si="0"/>
        <v>1</v>
      </c>
      <c r="AN7" s="3">
        <f t="shared" si="0"/>
        <v>0</v>
      </c>
    </row>
    <row r="8" spans="2:40" x14ac:dyDescent="0.25">
      <c r="B8" s="8" t="str">
        <f>SUMMARY!B10</f>
        <v>vinod kumar</v>
      </c>
      <c r="C8" s="8">
        <f t="shared" si="1"/>
        <v>0</v>
      </c>
      <c r="D8" s="8">
        <f t="shared" si="2"/>
        <v>0</v>
      </c>
      <c r="F8" s="4" t="s">
        <v>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L8" s="3">
        <f t="shared" si="3"/>
        <v>0</v>
      </c>
      <c r="AM8" s="3">
        <f t="shared" si="0"/>
        <v>1</v>
      </c>
      <c r="AN8" s="3">
        <f t="shared" si="0"/>
        <v>0</v>
      </c>
    </row>
    <row r="9" spans="2:40" x14ac:dyDescent="0.25">
      <c r="B9" s="8" t="str">
        <f>SUMMARY!B11</f>
        <v>saifuddin</v>
      </c>
      <c r="C9" s="8">
        <f t="shared" si="1"/>
        <v>1</v>
      </c>
      <c r="D9" s="8">
        <f t="shared" si="2"/>
        <v>1</v>
      </c>
      <c r="F9" s="4"/>
      <c r="G9" s="4" t="s">
        <v>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L9" s="3">
        <f t="shared" si="3"/>
        <v>1</v>
      </c>
      <c r="AM9" s="3">
        <f t="shared" si="0"/>
        <v>0</v>
      </c>
      <c r="AN9" s="3">
        <f t="shared" si="0"/>
        <v>0</v>
      </c>
    </row>
    <row r="10" spans="2:40" x14ac:dyDescent="0.25">
      <c r="B10" s="8" t="str">
        <f>SUMMARY!B12</f>
        <v>pawan kumar</v>
      </c>
      <c r="C10" s="8">
        <f t="shared" si="1"/>
        <v>1</v>
      </c>
      <c r="D10" s="8">
        <f t="shared" si="2"/>
        <v>1</v>
      </c>
      <c r="F10" s="4" t="s">
        <v>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L10" s="3">
        <f t="shared" si="3"/>
        <v>1</v>
      </c>
      <c r="AM10" s="3">
        <f t="shared" si="0"/>
        <v>0</v>
      </c>
      <c r="AN10" s="3">
        <f t="shared" si="0"/>
        <v>0</v>
      </c>
    </row>
    <row r="11" spans="2:40" x14ac:dyDescent="0.25">
      <c r="B11" s="8" t="str">
        <f>SUMMARY!B13</f>
        <v>gouthm</v>
      </c>
      <c r="C11" s="8">
        <f t="shared" si="1"/>
        <v>0</v>
      </c>
      <c r="D11" s="8">
        <f t="shared" si="2"/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L11" s="3">
        <f t="shared" si="3"/>
        <v>0</v>
      </c>
      <c r="AM11" s="3">
        <f t="shared" si="0"/>
        <v>0</v>
      </c>
      <c r="AN11" s="3">
        <f t="shared" si="0"/>
        <v>0</v>
      </c>
    </row>
    <row r="12" spans="2:40" x14ac:dyDescent="0.25">
      <c r="B12" s="8" t="str">
        <f>SUMMARY!B14</f>
        <v>moksha</v>
      </c>
      <c r="C12" s="8">
        <f t="shared" si="1"/>
        <v>0</v>
      </c>
      <c r="D12" s="8">
        <f t="shared" si="2"/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L12" s="3">
        <f t="shared" si="3"/>
        <v>0</v>
      </c>
      <c r="AM12" s="3">
        <f t="shared" si="0"/>
        <v>0</v>
      </c>
      <c r="AN12" s="3">
        <f t="shared" si="0"/>
        <v>0</v>
      </c>
    </row>
    <row r="13" spans="2:40" x14ac:dyDescent="0.25">
      <c r="B13" s="8" t="str">
        <f>SUMMARY!B15</f>
        <v>chandan</v>
      </c>
      <c r="C13" s="8">
        <f t="shared" si="1"/>
        <v>0</v>
      </c>
      <c r="D13" s="8">
        <f t="shared" si="2"/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L13" s="3">
        <f t="shared" si="3"/>
        <v>0</v>
      </c>
      <c r="AM13" s="3">
        <f t="shared" si="0"/>
        <v>0</v>
      </c>
      <c r="AN13" s="3">
        <f t="shared" si="0"/>
        <v>0</v>
      </c>
    </row>
  </sheetData>
  <mergeCells count="1">
    <mergeCell ref="C3:D3"/>
  </mergeCells>
  <conditionalFormatting sqref="F4:AJ13">
    <cfRule type="cellIs" dxfId="2" priority="2" operator="equal">
      <formula>$AN$3</formula>
    </cfRule>
    <cfRule type="cellIs" dxfId="1" priority="3" operator="equal">
      <formula>$AM$3</formula>
    </cfRule>
    <cfRule type="cellIs" dxfId="0" priority="4" operator="equal">
      <formula>$AL$3</formula>
    </cfRule>
  </conditionalFormatting>
  <conditionalFormatting sqref="D4:D13">
    <cfRule type="dataBar" priority="1">
      <dataBar showValue="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{901DBB28-672B-45CB-AE2F-A0FEDD93504C}</x14:id>
        </ext>
      </extLst>
    </cfRule>
  </conditionalFormatting>
  <dataValidations count="1">
    <dataValidation type="list" allowBlank="1" showInputMessage="1" showErrorMessage="1" sqref="F4:AJ13" xr:uid="{ADEFF020-F495-45F6-BBD5-1FE258CFBDBE}">
      <formula1>$AL$3:$AN$3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1DBB28-672B-45CB-AE2F-A0FEDD93504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D4:D13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JAN</vt:lpstr>
      <vt:lpstr>FEB</vt:lpstr>
      <vt:lpstr>MAR</vt:lpstr>
      <vt:lpstr>APR</vt:lpstr>
      <vt:lpstr>MAY</vt:lpstr>
      <vt:lpstr>JUN</vt:lpstr>
      <vt:lpstr>JUL</vt:lpstr>
      <vt:lpstr>AUG</vt:lpstr>
      <vt:lpstr>SPE</vt:lpstr>
      <vt:lpstr>OCT</vt:lpstr>
      <vt:lpstr>NOV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Dasari Vinod</dc:creator>
  <cp:lastModifiedBy>Dasari Vinod</cp:lastModifiedBy>
  <dcterms:created xsi:type="dcterms:W3CDTF">2026-02-23T06:48:18Z</dcterms:created>
  <dcterms:modified xsi:type="dcterms:W3CDTF">2026-02-26T13:58:32Z</dcterms:modified>
</cp:coreProperties>
</file>